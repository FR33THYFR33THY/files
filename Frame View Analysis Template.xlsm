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backupFile="1" codeName="ThisWorkbook" defaultThemeVersion="164011"/>
  <mc:AlternateContent xmlns:mc="http://schemas.openxmlformats.org/markup-compatibility/2006">
    <mc:Choice Requires="x15">
      <x15ac:absPath xmlns:x15ac="http://schemas.microsoft.com/office/spreadsheetml/2010/11/ac" url="H:\Documents\NVIDIA\Tools\FrameView Analyzer Template\1.1\"/>
    </mc:Choice>
  </mc:AlternateContent>
  <bookViews>
    <workbookView xWindow="-105" yWindow="-105" windowWidth="14505" windowHeight="6195" activeTab="3"/>
  </bookViews>
  <sheets>
    <sheet name="Capture #1 CSV" sheetId="1" r:id="rId1"/>
    <sheet name="Capture #2 CSV" sheetId="2" r:id="rId2"/>
    <sheet name="Capture #3 CSV" sheetId="3" r:id="rId3"/>
    <sheet name="Results" sheetId="4" r:id="rId4"/>
    <sheet name="Backend" sheetId="5" r:id="rId5"/>
  </sheets>
  <functionGroups builtInGroupCount="18"/>
  <definedNames>
    <definedName name="Capture1_CPUClock">IF(Capture1_Valid,IFERROR(INDEX('Capture #1 CSV'!$A:$FF, Backend!$F$71, Backend!$C$71):INDEX('Capture #1 CSV'!$A:$FF, Capture1_Length, Backend!$C$71), {#N/A}),{0,0})</definedName>
    <definedName name="Capture1_CPUPower">IF(Capture1_Valid,IFERROR(INDEX('Capture #1 CSV'!$A:$FF, Backend!$F$73, Backend!$C$73):INDEX('Capture #1 CSV'!$A:$FF, Capture1_Length, Backend!$C$73), {#N/A}),{0,0})</definedName>
    <definedName name="Capture1_CPUTemp">IF(Capture1_Valid,IFERROR(INDEX('Capture #1 CSV'!$A:$FF, Backend!$F$72, Backend!$C$72):INDEX('Capture #1 CSV'!$A:$FF, Capture1_Length, Backend!$C$72), {#N/A}),{0,0})</definedName>
    <definedName name="Capture1_CPUUtil">IF(Capture1_Valid,IFERROR(INDEX('Capture #1 CSV'!$A:$FF, Backend!$F$76, Backend!$C$76):INDEX('Capture #1 CSV'!$A:$FF, Capture1_Length, Backend!$D$34+Backend!$C$76), {#N/A}),{0,0})</definedName>
    <definedName name="Capture1_ElapsedTime">IF(Capture1_Valid,IFERROR((INDEX('Capture #1 CSV'!$A:$FF, Backend!$F$53, Backend!$C$53):INDEX('Capture #1 CSV'!$A:$FF, Capture1_Length, Backend!$C$53))-INDEX('Capture #1 CSV'!$A:$FF,Backend!$F$53,Backend!$C$53), {#N/A}),{0,1})</definedName>
    <definedName name="Capture1_FPS">IF(Capture1_Valid,IFERROR(1000/Capture1_FrameTimes, {#N/A}),{0,0})</definedName>
    <definedName name="Capture1_FrameTimes">IF(Capture1_Valid,IFERROR(INDEX('Capture #1 CSV'!$A:$FF, IF(AND(ISNUMBER(Backend!$C$55), Backend!$L$55=0), Backend!$F$55, Backend!$F$54), IF(AND(ISNUMBER(Backend!$C$55), Backend!$L$55=0), Backend!$C$55, Backend!$C$54)):INDEX('Capture #1 CSV'!$A:$FF, Capture1_Length, IF(AND(ISNUMBER(Backend!$C$55), Backend!$L$55=0), Backend!$C$55, Backend!$C$54)), {#N/A}),{0,0})</definedName>
    <definedName name="Capture1_GPU0Clock">IF(Capture1_Valid,IFERROR(INDEX('Capture #1 CSV'!$A:$FF, Backend!$F$58, Backend!$C$58):INDEX('Capture #1 CSV'!$A:$FF, Capture1_Length, Backend!$C$58), {#N/A}),{0,0})</definedName>
    <definedName name="Capture1_GPU0Temp">IF(Capture1_Valid,IFERROR(INDEX('Capture #1 CSV'!$A:$FF, Backend!$F$60, Backend!$C$60):INDEX('Capture #1 CSV'!$A:$FF, Capture1_Length, Backend!$C$60), {#N/A}),{0,0})</definedName>
    <definedName name="Capture1_GPU0Util">IF(Capture1_Valid,IFERROR(INDEX('Capture #1 CSV'!$A:$FF, Backend!$F$59, Backend!$C$59):INDEX('Capture #1 CSV'!$A:$FF, Capture1_Length, Backend!$C$59), {#N/A}),{0,0})</definedName>
    <definedName name="Capture1_Length">COUNTA('Capture #1 CSV'!$A:$A)</definedName>
    <definedName name="Capture1_NVGPU">Backend!$B$34</definedName>
    <definedName name="Capture1_PerfPerWatt">IF(Capture1_Valid,IFERROR(INDEX('Capture #1 CSV'!$A:$FF,IF(Meta_PowerScheme=3,Backend!$F$62,IF(Meta_PowerScheme=2,Backend!$F$69,Backend!$F$65)),IF(Meta_PowerScheme=3,Backend!$C$62,IF(Meta_PowerScheme=2,MAX(-1,Backend!$C$69,Backend!$C$70),MAX(-1,Backend!$C$65,Backend!$C$66)))):INDEX('Capture #1 CSV'!$A:$FF,Capture1_Length,IF(Meta_PowerScheme=3,Backend!$C$62,IF(Meta_PowerScheme=2,MAX(-1,Backend!$C$69,Backend!$C$70),MAX(-1,Backend!$C$65,Backend!$C$66)))), {#N/A}),{0,0})</definedName>
    <definedName name="Capture1_Power">IF(Capture1_Valid,IFERROR(INDEX('Capture #1 CSV'!$A:$FF,Backend!$F$63,IF(Meta_PowerScheme=3,Backend!$C$61,IF(Meta_PowerScheme=2, MAX(-1,Backend!$C$67,Backend!$C$68),MAX(-1,Backend!$C$63,Backend!$C$64)))):INDEX('Capture #1 CSV'!$A:$FF,Capture1_Length,IF(Meta_PowerScheme=3,Backend!$C$61,IF(Meta_PowerScheme=2, MAX(-1,Backend!$C$67,Backend!$C$68),MAX(-1,Backend!$C$63,Backend!$C$64)))), {#N/A}),{0,0})</definedName>
    <definedName name="Capture1_Power_API">IF(AND(Capture1_Valid, Capture1_Valid_PCAT),IFERROR(INDEX('Capture #1 CSV'!$A:$FF,Backend!$F$63,MAX(-1,Backend!$C$63:$C$64,Backend!$C$67:$C$68)):INDEX('Capture #1 CSV'!$A:$FF,Capture1_Length,MAX(-1,Backend!$C$63:$C$64,Backend!$C$67:$C$68)), {#N/A}),{0,0})</definedName>
    <definedName name="Capture1_Power_PCAT">IF(AND(Capture1_Valid, Capture1_Valid_PCAT),IFERROR(INDEX('Capture #1 CSV'!$A:$FF,Backend!$F$63,Backend!$C$61):INDEX('Capture #1 CSV'!$A:$FF,Capture1_Length,Backend!$C$61), {#N/A}),{0,0})</definedName>
    <definedName name="Capture1_PropertyRange">Results!$C$7:$C$10</definedName>
    <definedName name="Capture1_RenderingLatency">IF(Capture1_Valid,IFERROR(INDEX('Capture #1 CSV'!$A:$FF, Backend!$F$56, Backend!$C$56):INDEX('Capture #1 CSV'!$A:$FF, Capture1_Length, Backend!$C$56), {#N/A}),{0,0})</definedName>
    <definedName name="Capture1_RenderQueue">IF(Capture1_Valid,IFERROR(INDEX('Capture #1 CSV'!$A:$FF, Backend!$F$57, Backend!$C$57):INDEX('Capture #1 CSV'!$A:$FF, Capture1_Length, Backend!$C$57), {#N/A}),{0,0})</definedName>
    <definedName name="Capture1_ReportedApplication">IF(Capture1_Valid, IF(Backend!$I$38&lt;&gt;"", Backend!$I$38, "NOT DETECTED"), "")</definedName>
    <definedName name="Capture1_ReportedGPU">IF(Capture1_Valid, IF(Backend!$I$39&lt;&gt;"", Backend!$I$39, "NOT DETECTED"), "")</definedName>
    <definedName name="Capture1_ReportedResolution">IF(Capture1_Valid, IF(Backend!$I$41&lt;&gt;"", Backend!$I$41, "NOT DETECTED"), "")</definedName>
    <definedName name="Capture1_ReportedRuntime">IF(Capture1_Valid, IF(Backend!$I$43&lt;&gt;"", Backend!$I$43, "NOT DETECTED"), "")</definedName>
    <definedName name="Capture1_Valid">Capture1_Length&gt;0</definedName>
    <definedName name="Capture1_Valid_PCAT">Backend!$E$34</definedName>
    <definedName name="Capture1_Variable">Backend!$B$9</definedName>
    <definedName name="Capture2_CPUClock">IF(Capture2_Valid,IFERROR(INDEX('Capture #2 CSV'!$A:$FF, Backend!$G$71, Backend!$D$71):INDEX('Capture #2 CSV'!$A:$FF, Capture2_Length, Backend!$D$71), {#N/A}),{0,0})</definedName>
    <definedName name="Capture2_CPUPower">IF(Capture2_Valid,IFERROR(INDEX('Capture #2 CSV'!$A:$FF, Backend!$G$73, Backend!$D$73):INDEX('Capture #2 CSV'!$A:$FF, Capture2_Length, Backend!$D$73), {#N/A}),{0,0})</definedName>
    <definedName name="Capture2_CPUTemp">IF(Capture2_Valid,IFERROR(INDEX('Capture #2 CSV'!$A:$FF, Backend!$G$72, Backend!$D$72):INDEX('Capture #2 CSV'!$A:$FF, Capture2_Length, Backend!$D$72), {#N/A}),{0,0})</definedName>
    <definedName name="Capture2_CPUUtil">IF(Capture2_Valid,IFERROR(INDEX('Capture #2 CSV'!$A:$FF, Backend!$G$76, Backend!$D$76):INDEX('Capture #2 CSV'!$A:$FF, Capture2_Length, Backend!$D$35+Backend!$D$76), {#N/A}),{0,0})</definedName>
    <definedName name="Capture2_ElapsedTime">IF(Capture2_Valid,IFERROR((INDEX('Capture #2 CSV'!$A:$FF, Backend!$G$53, Backend!$D$53):INDEX('Capture #2 CSV'!$A:$FF, Capture2_Length, Backend!$D$53))-INDEX('Capture #2 CSV'!$A:$ZZ,Backend!$G$53,Backend!$D$53), {#N/A}),{0,1})</definedName>
    <definedName name="Capture2_FPS">IF(Capture2_Valid,IFERROR(1000/Capture2_FrameTimes, {#N/A}),{0,0})</definedName>
    <definedName name="Capture2_FrameTimes">IF(Capture2_Valid,IFERROR(INDEX('Capture #2 CSV'!$A:$FF, IF(AND(ISNUMBER(Backend!$D$55), Backend!$M$55=0), Backend!$G$55, Backend!$G$54), IF(AND(ISNUMBER(Backend!$D$55), Backend!$M$55=0), Backend!$D$55, Backend!$D$54)):INDEX('Capture #2 CSV'!$A:$FF, Capture2_Length, IF(AND(ISNUMBER(Backend!$D$55), Backend!$M$55=0), Backend!$D$55, Backend!$D$54)), {#N/A}),{0,0})</definedName>
    <definedName name="Capture2_GPU0Clock">IF(Capture2_Valid,IFERROR(INDEX('Capture #2 CSV'!$A:$FF, Backend!$G$58, Backend!$D$58):INDEX('Capture #2 CSV'!$A:$FF, Capture2_Length, Backend!$D$58), {#N/A}),{0,0})</definedName>
    <definedName name="Capture2_GPU0Temp">IF(Capture2_Valid,IFERROR(INDEX('Capture #2 CSV'!$A:$FF, Backend!$G$60, Backend!$D$60):INDEX('Capture #2 CSV'!$A:$FF, Capture2_Length, Backend!$D$60), {#N/A}),{0,0})</definedName>
    <definedName name="Capture2_GPU0Util">IF(Capture2_Valid,IFERROR(INDEX('Capture #2 CSV'!$A:$FF, Backend!$G$59, Backend!$D$59):INDEX('Capture #2 CSV'!$A:$FF, Capture2_Length, Backend!$D$59), {#N/A}),{0,0})</definedName>
    <definedName name="Capture2_Length">COUNTA('Capture #2 CSV'!$A:$A)</definedName>
    <definedName name="Capture2_NVGPU">Backend!$B$35</definedName>
    <definedName name="Capture2_PerfPerWatt">IF(Capture2_Valid,IFERROR(INDEX('Capture #2 CSV'!$A:$FF,IF(Meta_PowerScheme=3,Backend!$G$62,IF(Meta_PowerScheme=2,Backend!$G$69,Backend!$G$65)),IF(Meta_PowerScheme=3,Backend!$D$62,IF(Meta_PowerScheme=2,MAX(-1,Backend!$D$69,Backend!$D$70),MAX(-1,Backend!$D$65,Backend!$D$66)))):INDEX('Capture #2 CSV'!$A:$FF,Capture2_Length,IF(Meta_PowerScheme=3,Backend!$D$62,IF(Meta_PowerScheme=2,MAX(-1,Backend!$D$69,Backend!$D$70),MAX(-1,Backend!$D$65,Backend!$D$66)))), {#N/A}),{0,0})</definedName>
    <definedName name="Capture2_Power">IF(Capture2_Valid,IFERROR(INDEX('Capture #2 CSV'!$A:$FF,Backend!$G$63,IF(Meta_PowerScheme=3,Backend!$D$61,IF(Meta_PowerScheme=2,MAX(-1,Backend!$D$67,Backend!$D$68),MAX(-1,Backend!$D$63,Backend!$D$64)))):INDEX('Capture #2 CSV'!$A:$FF,Capture2_Length,IF(Meta_PowerScheme=3,Backend!$D$61,IF(Meta_PowerScheme=2,MAX(-1,Backend!$D$67,Backend!$D$68),MAX(-1,Backend!$D$63,Backend!$D$64)))), {#N/A}),{0,0})</definedName>
    <definedName name="Capture2_Power_API">IF(AND(Capture2_Valid, Capture2_Valid_PCAT),IFERROR(INDEX('Capture #2 CSV'!$A:$FF,Backend!$G$63,MAX(-1,Backend!$D$63:$D$64,Backend!$D$67:$D$68)):INDEX('Capture #2 CSV'!$A:$FF,Capture2_Length,MAX(-1,Backend!$D$63:$D$64,Backend!$D$67:$D$68)), {#N/A}),{0,0})</definedName>
    <definedName name="Capture2_Power_PCAT">IF(AND(Capture2_Valid, Capture2_Valid_PCAT),IFERROR(INDEX('Capture #2 CSV'!$A:$FF,Backend!$G$63,Backend!$D$61):INDEX('Capture #2 CSV'!$A:$FF,Capture2_Length,Backend!$D$61), {#N/A}),{0,0})</definedName>
    <definedName name="Capture2_PropertyRange">Results!$D$7:$D$10</definedName>
    <definedName name="Capture2_RenderingLatency">IF(Capture2_Valid,IFERROR(INDEX('Capture #2 CSV'!$A:$FF, Backend!$G$56, Backend!$D$56):INDEX('Capture #2 CSV'!$A:$FF, Capture2_Length, Backend!$D$56), {#N/A}),{0,0})</definedName>
    <definedName name="Capture2_RenderQueue">IF(Capture2_Valid,IFERROR(INDEX('Capture #2 CSV'!$A:$FF, Backend!$G$57, Backend!$D$57):INDEX('Capture #2 CSV'!$A:$FF, Capture2_Length, Backend!$D$57), {#N/A}),{0,0})</definedName>
    <definedName name="Capture2_ReportedApplication">IF(Capture2_Valid, IF(Backend!$J$38&lt;&gt;"", Backend!$J$38, "NOT DETECTED"), "")</definedName>
    <definedName name="Capture2_ReportedGPU">IF(Capture2_Valid, IF(Backend!$J$39&lt;&gt;"", Backend!$J$39, "NOT DETECTED"), "")</definedName>
    <definedName name="Capture2_ReportedResolution">IF(Capture2_Valid, IF(Backend!$J$41&lt;&gt;"", Backend!$J$41, "NOT DETECTED"), "")</definedName>
    <definedName name="Capture2_ReportedRuntime">IF(Capture2_Valid, IF(Backend!$J$43&lt;&gt;"", Backend!$J$43, "NOT DETECTED"), "")</definedName>
    <definedName name="Capture2_Valid">Capture2_Length&gt;0</definedName>
    <definedName name="Capture2_Valid_PCAT">Backend!$E$35</definedName>
    <definedName name="Capture2_Variable">Backend!$B$10</definedName>
    <definedName name="Capture3_CPUClock">IF(Capture3_Valid,IFERROR(INDEX('Capture #3 CSV'!$A:$FF, Backend!$H$71, Backend!$E$71):INDEX('Capture #3 CSV'!$A:$FF, Capture3_Length, Backend!$E$71), {#N/A}),{0,0})</definedName>
    <definedName name="Capture3_CPUPower">IF(Capture3_Valid,IFERROR(INDEX('Capture #3 CSV'!$A:$FF, Backend!$H$73, Backend!$E$73):INDEX('Capture #3 CSV'!$A:$FF, Capture3_Length, Backend!$E$73), {#N/A}),{0,0})</definedName>
    <definedName name="Capture3_CPUTemp">IF(Capture3_Valid,IFERROR(INDEX('Capture #3 CSV'!$A:$FF, Backend!$H$72, Backend!$E$72):INDEX('Capture #3 CSV'!$A:$FF, Capture3_Length, Backend!$E$72), {#N/A}),{0,0})</definedName>
    <definedName name="Capture3_CPUUtil">IF(Capture3_Valid,IFERROR(INDEX('Capture #3 CSV'!$A:$FF, Backend!$H$76, Backend!$E$76):INDEX('Capture #3 CSV'!$A:$FF, Capture3_Length, Backend!$D$36+Backend!$E$76), {#N/A}),{0,0})</definedName>
    <definedName name="Capture3_ElapsedTime">IF(Capture3_Valid,IFERROR((INDEX('Capture #3 CSV'!$A:$FF, Backend!$H$53, Backend!$E$53):INDEX('Capture #3 CSV'!$A:$FF, Capture3_Length, Backend!$E$53))-INDEX('Capture #3 CSV'!$A:$ZZ,Backend!$H$53,Backend!$E$53), {#N/A}),{0,1})</definedName>
    <definedName name="Capture3_FPS">IF(Capture3_Valid,IFERROR(1000/Capture3_FrameTimes, {#N/A}),{0,0})</definedName>
    <definedName name="Capture3_FrameTimes">IF(Capture3_Valid,IFERROR(INDEX('Capture #3 CSV'!$A:$FF, IF(AND(ISNUMBER(Backend!$E$55), Backend!$N$55=0), Backend!$H$55, Backend!$H$54), IF(AND(ISNUMBER(Backend!$E$55), Backend!$N$55=0), Backend!$E$55, Backend!$E$54)):INDEX('Capture #3 CSV'!$A:$FF, Capture3_Length, IF(AND(ISNUMBER(Backend!$E$55), Backend!$N$55=0), Backend!$E$55, Backend!$E$54)), {#N/A}),{0,0})</definedName>
    <definedName name="Capture3_GPU0Clock">IF(Capture3_Valid,IFERROR(INDEX('Capture #3 CSV'!$A:$FF, Backend!$H$58, Backend!$E$58):INDEX('Capture #3 CSV'!$A:$FF, Capture3_Length, Backend!$E$58), {#N/A}),{0,0})</definedName>
    <definedName name="Capture3_GPU0Temp">IF(Capture3_Valid,IFERROR(INDEX('Capture #3 CSV'!$A:$FF, Backend!$H$60, Backend!$E$60):INDEX('Capture #3 CSV'!$A:$FF, Capture3_Length, Backend!$E$60), {#N/A}),{0,0})</definedName>
    <definedName name="Capture3_GPU0Util">IF(Capture3_Valid,IFERROR(INDEX('Capture #3 CSV'!$A:$FF, Backend!$H$59, Backend!$E$59):INDEX('Capture #3 CSV'!$A:$FF, Capture3_Length, Backend!$E$59), {#N/A}),{0,0})</definedName>
    <definedName name="Capture3_Length">COUNTA('Capture #3 CSV'!$A:$A)</definedName>
    <definedName name="Capture3_NVGPU">Backend!$B$36</definedName>
    <definedName name="Capture3_PerfPerWatt">IF(Capture3_Valid,IFERROR(INDEX('Capture #3 CSV'!$A:$FF,IF(Meta_PowerScheme=3,Backend!$H$62,IF(Meta_PowerScheme=2,Backend!$H$69,Backend!$H$65)),IF(Meta_PowerScheme=3,Backend!$E$62,IF(Meta_PowerScheme=2,MAX(-1,Backend!$E$69,Backend!$E$70),MAX(-1,Backend!$E$65,Backend!$E$66)))):INDEX('Capture #3 CSV'!$A:$FF,Capture3_Length,IF(Meta_PowerScheme=3,Backend!$E$62,IF(Meta_PowerScheme=2,MAX(-1,Backend!$E$69,Backend!$E$70),MAX(-1,Backend!$E$65,Backend!$E$66)))), {#N/A}),{0,0})</definedName>
    <definedName name="Capture3_Power">IF(Capture3_Valid,IFERROR(INDEX('Capture #3 CSV'!$A:$FF,Backend!$H$63,IF(Meta_PowerScheme=3,Backend!$E$61,IF(Meta_PowerScheme=2,MAX(-1,Backend!$E$67,Backend!$E$68),MAX(-1,Backend!$E$63,Backend!$E$64)))):INDEX('Capture #3 CSV'!$A:$FF,Capture3_Length,IF(Meta_PowerScheme=3,Backend!$E$61,IF(Meta_PowerScheme=2,MAX(-1,Backend!$E$67,Backend!$E$68),MAX(-1,Backend!$E$63,Backend!$E$64)))), {#N/A}),{0,0})</definedName>
    <definedName name="Capture3_Power_API">IF(AND(Capture3_Valid, Capture3_Valid_PCAT),IFERROR(INDEX('Capture #3 CSV'!$A:$FF,Backend!$H$63,MAX(-1,Backend!$E$63:$E$64,Backend!$E$67:$E$68)):INDEX('Capture #3 CSV'!$A:$FF,Capture3_Length,MAX(-1,Backend!$E$63:$E$64,Backend!$E$67:$E$68)), {#N/A}),{0,0})</definedName>
    <definedName name="Capture3_Power_PCAT">IF(AND(Capture3_Valid, Capture3_Valid_PCAT),IFERROR(INDEX('Capture #3 CSV'!$A:$FF,Backend!$G$63,Backend!$E$61):INDEX('Capture #3 CSV'!$A:$FF,Capture3_Length,Backend!$E$61), {#N/A}),{0,0})</definedName>
    <definedName name="Capture3_PropertyRange">Results!$E$7:$E$10</definedName>
    <definedName name="Capture3_RenderingLatency">IF(Capture3_Valid,IFERROR(INDEX('Capture #3 CSV'!$A:$FF, Backend!$H$56, Backend!$E$56):INDEX('Capture #3 CSV'!$A:$FF, Capture3_Length, Backend!$E$56), {#N/A}),{0,0})</definedName>
    <definedName name="Capture3_RenderQueue">IF(Capture3_Valid,IFERROR(INDEX('Capture #3 CSV'!$A:$FF, Backend!$H$57, Backend!$E$57):INDEX('Capture #3 CSV'!$A:$FF, Capture3_Length, Backend!$E$57), {#N/A}),{0,0})</definedName>
    <definedName name="Capture3_ReportedApplication">IF(Capture3_Valid, IF(Backend!$K$38&lt;&gt;"", Backend!$K$38, "NOT DETECTED"), "")</definedName>
    <definedName name="Capture3_ReportedGPU">IF(Capture3_Valid, IF(Backend!$K$39&lt;&gt;"", Backend!$K$39, "NOT DETECTED"), "")</definedName>
    <definedName name="Capture3_ReportedResolution">IF(Capture3_Valid, IF(Backend!$K$41&lt;&gt;"", Backend!$K$41, "NOT DETECTED"), "")</definedName>
    <definedName name="Capture3_ReportedRuntime">IF(Capture3_Valid, IF(Backend!$K$43&lt;&gt;"", Backend!$K$43, "NOT DETECTED"), "")</definedName>
    <definedName name="Capture3_Valid">Capture3_Length&gt;0</definedName>
    <definedName name="Capture3_Valid_PCAT">Backend!$E$36</definedName>
    <definedName name="Capture3_Variable">Backend!$B$11</definedName>
    <definedName name="Meta_LastFolderPath">Backend!$B$141</definedName>
    <definedName name="Meta_NumberOfCaptures">SUM(N(Capture1_Valid), N(Capture2_Valid), N(Capture3_Valid))</definedName>
    <definedName name="Meta_PowerScheme">Backend!$B$142</definedName>
    <definedName name="Meta_StaticChartProperties">Backend!$B$8</definedName>
    <definedName name="Meta_TableFormula">VLOOKUP(Meta_TableFormulaIndex, Backend!$A$144:$B$152, 2)</definedName>
    <definedName name="Meta_TableFormulaIndex">Backend!$B$143</definedName>
    <definedName name="Tags_CaptureVariables">IF(Results!$C$18="", "[Variable]", Results!$C$18)</definedName>
    <definedName name="Tags_ChartTitles">IF(Results!$C$17="", "No Capture Details Provided! ", Results!$C$17)</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6" i="5" l="1"/>
  <c r="C62" i="5" l="1"/>
  <c r="F62" i="5" s="1"/>
  <c r="D62" i="5"/>
  <c r="G62" i="5" s="1"/>
  <c r="E62" i="5"/>
  <c r="H62" i="5" s="1"/>
  <c r="C61" i="5"/>
  <c r="F61" i="5" s="1"/>
  <c r="E34" i="5" s="1"/>
  <c r="H9" i="4" s="1"/>
  <c r="D61" i="5"/>
  <c r="G61" i="5" s="1"/>
  <c r="E35" i="5" s="1"/>
  <c r="I9" i="4" s="1"/>
  <c r="E61" i="5"/>
  <c r="H61" i="5" s="1"/>
  <c r="E36" i="5" s="1"/>
  <c r="J9" i="4" s="1"/>
  <c r="B20" i="4" l="1"/>
  <c r="A15" i="5" l="1"/>
  <c r="A14" i="5"/>
  <c r="A13" i="5"/>
  <c r="C76" i="5" l="1"/>
  <c r="F76" i="5" s="1"/>
  <c r="C74" i="5"/>
  <c r="F74" i="5" s="1"/>
  <c r="C73" i="5"/>
  <c r="F73" i="5" s="1"/>
  <c r="H15" i="4" s="1"/>
  <c r="C72" i="5"/>
  <c r="F72" i="5" s="1"/>
  <c r="H17" i="4" s="1"/>
  <c r="C71" i="5"/>
  <c r="F71" i="5" s="1"/>
  <c r="H18" i="4" s="1"/>
  <c r="C59" i="5"/>
  <c r="F59" i="5" s="1"/>
  <c r="H12" i="4" s="1"/>
  <c r="C58" i="5"/>
  <c r="F58" i="5" s="1"/>
  <c r="H14" i="4" s="1"/>
  <c r="C57" i="5"/>
  <c r="F57" i="5" s="1"/>
  <c r="H11" i="4" s="1"/>
  <c r="C56" i="5"/>
  <c r="F56" i="5" s="1"/>
  <c r="H10" i="4" s="1"/>
  <c r="C55" i="5"/>
  <c r="C54" i="5"/>
  <c r="F54" i="5" s="1"/>
  <c r="C53" i="5"/>
  <c r="F53" i="5" s="1"/>
  <c r="H5" i="4" s="1"/>
  <c r="C52" i="5"/>
  <c r="F52" i="5" s="1"/>
  <c r="L52" i="5" s="1"/>
  <c r="M14" i="4" s="1"/>
  <c r="C50" i="5"/>
  <c r="F50" i="5" s="1"/>
  <c r="I50" i="5" s="1"/>
  <c r="C49" i="5"/>
  <c r="F49" i="5" s="1"/>
  <c r="I49" i="5" s="1"/>
  <c r="C43" i="5"/>
  <c r="F43" i="5" s="1"/>
  <c r="I43" i="5" s="1"/>
  <c r="C8" i="4" s="1"/>
  <c r="C41" i="5"/>
  <c r="F41" i="5" s="1"/>
  <c r="I41" i="5" s="1"/>
  <c r="C9" i="4" s="1"/>
  <c r="C40" i="5"/>
  <c r="F40" i="5" s="1"/>
  <c r="I40" i="5" s="1"/>
  <c r="C39" i="5"/>
  <c r="F39" i="5" s="1"/>
  <c r="I39" i="5" s="1"/>
  <c r="C10" i="4" s="1"/>
  <c r="C38" i="5"/>
  <c r="F38" i="5" s="1"/>
  <c r="I38" i="5" s="1"/>
  <c r="C7" i="4" s="1"/>
  <c r="C45" i="5"/>
  <c r="F45" i="5" s="1"/>
  <c r="L45" i="5" s="1"/>
  <c r="M8" i="4" s="1"/>
  <c r="C46" i="5"/>
  <c r="F46" i="5" s="1"/>
  <c r="I46" i="5" s="1"/>
  <c r="C47" i="5"/>
  <c r="F47" i="5" s="1"/>
  <c r="I47" i="5" s="1"/>
  <c r="C48" i="5"/>
  <c r="F48" i="5" s="1"/>
  <c r="L48" i="5" s="1"/>
  <c r="M11" i="4" s="1"/>
  <c r="C60" i="5"/>
  <c r="F60" i="5" s="1"/>
  <c r="H13" i="4" s="1"/>
  <c r="B9" i="5" l="1"/>
  <c r="I76" i="5"/>
  <c r="C77" i="5" s="1"/>
  <c r="F77" i="5" s="1"/>
  <c r="I77" i="5" s="1"/>
  <c r="F55" i="5"/>
  <c r="L55" i="5" s="1"/>
  <c r="H6" i="4" s="1"/>
  <c r="L41" i="5" a="1"/>
  <c r="L41" i="5" s="1"/>
  <c r="L43" i="5" a="1"/>
  <c r="L43" i="5" s="1"/>
  <c r="L44" i="5"/>
  <c r="L50" i="5" a="1"/>
  <c r="L50" i="5" s="1"/>
  <c r="L42" i="5"/>
  <c r="L46" i="5"/>
  <c r="M9" i="4" s="1"/>
  <c r="L38" i="5"/>
  <c r="M4" i="4" s="1"/>
  <c r="L49" i="5"/>
  <c r="M12" i="4" s="1"/>
  <c r="L51" i="5"/>
  <c r="L39" i="5"/>
  <c r="M5" i="4" s="1"/>
  <c r="L47" i="5"/>
  <c r="M10" i="4" s="1"/>
  <c r="E76" i="5"/>
  <c r="H76" i="5" s="1"/>
  <c r="D76" i="5"/>
  <c r="G76" i="5" s="1"/>
  <c r="E74" i="5"/>
  <c r="H74" i="5" s="1"/>
  <c r="D74" i="5"/>
  <c r="G74" i="5" s="1"/>
  <c r="E73" i="5"/>
  <c r="H73" i="5" s="1"/>
  <c r="J15" i="4" s="1"/>
  <c r="D73" i="5"/>
  <c r="G73" i="5" s="1"/>
  <c r="I15" i="4" s="1"/>
  <c r="E72" i="5"/>
  <c r="H72" i="5" s="1"/>
  <c r="J17" i="4" s="1"/>
  <c r="D72" i="5"/>
  <c r="G72" i="5" s="1"/>
  <c r="I17" i="4" s="1"/>
  <c r="E71" i="5"/>
  <c r="H71" i="5" s="1"/>
  <c r="J18" i="4" s="1"/>
  <c r="D71" i="5"/>
  <c r="G71" i="5" s="1"/>
  <c r="I18" i="4" s="1"/>
  <c r="E60" i="5"/>
  <c r="H60" i="5" s="1"/>
  <c r="J13" i="4" s="1"/>
  <c r="D60" i="5"/>
  <c r="G60" i="5" s="1"/>
  <c r="I13" i="4" s="1"/>
  <c r="E59" i="5"/>
  <c r="H59" i="5" s="1"/>
  <c r="J12" i="4" s="1"/>
  <c r="D59" i="5"/>
  <c r="G59" i="5" s="1"/>
  <c r="I12" i="4" s="1"/>
  <c r="E58" i="5"/>
  <c r="H58" i="5" s="1"/>
  <c r="J14" i="4" s="1"/>
  <c r="D58" i="5"/>
  <c r="G58" i="5" s="1"/>
  <c r="I14" i="4" s="1"/>
  <c r="E57" i="5"/>
  <c r="H57" i="5" s="1"/>
  <c r="J11" i="4" s="1"/>
  <c r="D57" i="5"/>
  <c r="G57" i="5" s="1"/>
  <c r="I11" i="4" s="1"/>
  <c r="E56" i="5"/>
  <c r="H56" i="5" s="1"/>
  <c r="J10" i="4" s="1"/>
  <c r="D56" i="5"/>
  <c r="G56" i="5" s="1"/>
  <c r="I10" i="4" s="1"/>
  <c r="E55" i="5"/>
  <c r="D55" i="5"/>
  <c r="E54" i="5"/>
  <c r="H54" i="5" s="1"/>
  <c r="D54" i="5"/>
  <c r="G54" i="5" s="1"/>
  <c r="E53" i="5"/>
  <c r="H53" i="5" s="1"/>
  <c r="J5" i="4" s="1"/>
  <c r="D53" i="5"/>
  <c r="G53" i="5" s="1"/>
  <c r="I5" i="4" s="1"/>
  <c r="E52" i="5"/>
  <c r="H52" i="5" s="1"/>
  <c r="N52" i="5" s="1"/>
  <c r="O14" i="4" s="1"/>
  <c r="D52" i="5"/>
  <c r="G52" i="5" s="1"/>
  <c r="M52" i="5" s="1"/>
  <c r="N14" i="4" s="1"/>
  <c r="E50" i="5"/>
  <c r="D50" i="5"/>
  <c r="E49" i="5"/>
  <c r="H49" i="5" s="1"/>
  <c r="K49" i="5" s="1"/>
  <c r="D49" i="5"/>
  <c r="G49" i="5" s="1"/>
  <c r="J49" i="5" s="1"/>
  <c r="E48" i="5"/>
  <c r="H48" i="5" s="1"/>
  <c r="N48" i="5" s="1"/>
  <c r="O11" i="4" s="1"/>
  <c r="D48" i="5"/>
  <c r="G48" i="5" s="1"/>
  <c r="M48" i="5" s="1"/>
  <c r="N11" i="4" s="1"/>
  <c r="E47" i="5"/>
  <c r="H47" i="5" s="1"/>
  <c r="K47" i="5" s="1"/>
  <c r="D47" i="5"/>
  <c r="G47" i="5" s="1"/>
  <c r="J47" i="5" s="1"/>
  <c r="E46" i="5"/>
  <c r="H46" i="5" s="1"/>
  <c r="K46" i="5" s="1"/>
  <c r="D46" i="5"/>
  <c r="G46" i="5" s="1"/>
  <c r="J46" i="5" s="1"/>
  <c r="E45" i="5"/>
  <c r="H45" i="5" s="1"/>
  <c r="N45" i="5" s="1"/>
  <c r="O8" i="4" s="1"/>
  <c r="D45" i="5"/>
  <c r="G45" i="5" s="1"/>
  <c r="M45" i="5" s="1"/>
  <c r="N8" i="4" s="1"/>
  <c r="E43" i="5"/>
  <c r="D43" i="5"/>
  <c r="E41" i="5"/>
  <c r="D41" i="5"/>
  <c r="E40" i="5"/>
  <c r="H40" i="5" s="1"/>
  <c r="K40" i="5" s="1"/>
  <c r="D40" i="5"/>
  <c r="G40" i="5" s="1"/>
  <c r="J40" i="5" s="1"/>
  <c r="E39" i="5"/>
  <c r="H39" i="5" s="1"/>
  <c r="K39" i="5" s="1"/>
  <c r="E10" i="4" s="1"/>
  <c r="D39" i="5"/>
  <c r="G39" i="5" s="1"/>
  <c r="J39" i="5" s="1"/>
  <c r="D10" i="4" s="1"/>
  <c r="E38" i="5"/>
  <c r="H38" i="5" s="1"/>
  <c r="K38" i="5" s="1"/>
  <c r="E7" i="4" s="1"/>
  <c r="D38" i="5"/>
  <c r="G38" i="5" s="1"/>
  <c r="J38" i="5" s="1"/>
  <c r="D7" i="4" s="1"/>
  <c r="B6" i="5"/>
  <c r="M13" i="4" l="1"/>
  <c r="M7" i="4"/>
  <c r="M6" i="4"/>
  <c r="H43" i="5"/>
  <c r="H41" i="5"/>
  <c r="G43" i="5"/>
  <c r="G41" i="5"/>
  <c r="K76" i="5"/>
  <c r="E77" i="5" s="1"/>
  <c r="H77" i="5" s="1"/>
  <c r="K77" i="5" s="1"/>
  <c r="J76" i="5"/>
  <c r="D77" i="5" s="1"/>
  <c r="G77" i="5" s="1"/>
  <c r="J77" i="5" s="1"/>
  <c r="M15" i="4"/>
  <c r="H50" i="5"/>
  <c r="K50" i="5" s="1"/>
  <c r="G50" i="5"/>
  <c r="J50" i="5" s="1"/>
  <c r="C78" i="5"/>
  <c r="F78" i="5" s="1"/>
  <c r="I78" i="5" s="1"/>
  <c r="H55" i="5"/>
  <c r="N55" i="5" s="1"/>
  <c r="J6" i="4" s="1"/>
  <c r="G55" i="5"/>
  <c r="M55" i="5" s="1"/>
  <c r="I6" i="4" s="1"/>
  <c r="B2" i="5"/>
  <c r="N38" i="5"/>
  <c r="O4" i="4" s="1"/>
  <c r="B36" i="5"/>
  <c r="N39" i="5"/>
  <c r="O5" i="4" s="1"/>
  <c r="N46" i="5"/>
  <c r="O9" i="4" s="1"/>
  <c r="N47" i="5"/>
  <c r="O10" i="4" s="1"/>
  <c r="N49" i="5"/>
  <c r="O12" i="4" s="1"/>
  <c r="M49" i="5"/>
  <c r="N12" i="4" s="1"/>
  <c r="B35" i="5"/>
  <c r="M38" i="5"/>
  <c r="N4" i="4" s="1"/>
  <c r="M39" i="5"/>
  <c r="N5" i="4" s="1"/>
  <c r="M46" i="5"/>
  <c r="N9" i="4" s="1"/>
  <c r="M47" i="5"/>
  <c r="N10" i="4" s="1"/>
  <c r="E69" i="5" l="1"/>
  <c r="E66" i="5"/>
  <c r="E67" i="5"/>
  <c r="E65" i="5"/>
  <c r="E70" i="5"/>
  <c r="E63" i="5"/>
  <c r="E68" i="5"/>
  <c r="D68" i="5"/>
  <c r="D66" i="5"/>
  <c r="D69" i="5"/>
  <c r="D67" i="5"/>
  <c r="D65" i="5"/>
  <c r="D70" i="5"/>
  <c r="D63" i="5"/>
  <c r="N41" i="5" a="1"/>
  <c r="N41" i="5" s="1"/>
  <c r="N43" i="5" a="1"/>
  <c r="N43" i="5" s="1"/>
  <c r="M41" i="5" a="1"/>
  <c r="M41" i="5" s="1"/>
  <c r="M43" i="5" a="1"/>
  <c r="M43" i="5" s="1"/>
  <c r="K43" i="5"/>
  <c r="E8" i="4" s="1"/>
  <c r="K41" i="5"/>
  <c r="E9" i="4" s="1"/>
  <c r="J41" i="5"/>
  <c r="D9" i="4" s="1"/>
  <c r="J43" i="5"/>
  <c r="D8" i="4" s="1"/>
  <c r="N50" i="5" a="1"/>
  <c r="N50" i="5" s="1"/>
  <c r="O13" i="4" s="1"/>
  <c r="M50" i="5" a="1"/>
  <c r="M50" i="5" s="1"/>
  <c r="N13" i="4" s="1"/>
  <c r="O15" i="4"/>
  <c r="N15" i="4"/>
  <c r="N51" i="5"/>
  <c r="M51" i="5"/>
  <c r="C79" i="5"/>
  <c r="F79" i="5" s="1"/>
  <c r="I79" i="5" s="1"/>
  <c r="C2" i="5"/>
  <c r="C5" i="5"/>
  <c r="B5" i="5"/>
  <c r="E78" i="5"/>
  <c r="H78" i="5" s="1"/>
  <c r="K78" i="5" s="1"/>
  <c r="E64" i="5"/>
  <c r="B3" i="5"/>
  <c r="D78" i="5"/>
  <c r="G78" i="5" s="1"/>
  <c r="J78" i="5" s="1"/>
  <c r="D64" i="5"/>
  <c r="B34" i="5"/>
  <c r="C64" i="5" s="1"/>
  <c r="N44" i="5" l="1"/>
  <c r="O7" i="4" s="1"/>
  <c r="N42" i="5"/>
  <c r="O6" i="4" s="1"/>
  <c r="M44" i="5"/>
  <c r="N7" i="4" s="1"/>
  <c r="M42" i="5"/>
  <c r="N6" i="4" s="1"/>
  <c r="G67" i="5"/>
  <c r="G69" i="5"/>
  <c r="G63" i="5"/>
  <c r="I7" i="4" s="1"/>
  <c r="G65" i="5"/>
  <c r="I8" i="4" s="1"/>
  <c r="C63" i="5"/>
  <c r="C68" i="5"/>
  <c r="C67" i="5"/>
  <c r="C69" i="5"/>
  <c r="C66" i="5"/>
  <c r="C65" i="5"/>
  <c r="C70" i="5"/>
  <c r="H63" i="5"/>
  <c r="J7" i="4" s="1"/>
  <c r="H65" i="5"/>
  <c r="J8" i="4" s="1"/>
  <c r="H67" i="5"/>
  <c r="H69" i="5"/>
  <c r="C3" i="5"/>
  <c r="C4" i="5"/>
  <c r="B4" i="5"/>
  <c r="B10" i="5" s="1"/>
  <c r="C80" i="5"/>
  <c r="F80" i="5" s="1"/>
  <c r="I80" i="5" s="1"/>
  <c r="E79" i="5"/>
  <c r="H79" i="5" s="1"/>
  <c r="K79" i="5" s="1"/>
  <c r="D79" i="5"/>
  <c r="G79" i="5" s="1"/>
  <c r="J79" i="5" s="1"/>
  <c r="F65" i="5" l="1"/>
  <c r="H8" i="4" s="1"/>
  <c r="F69" i="5"/>
  <c r="F67" i="5"/>
  <c r="M2" i="4"/>
  <c r="B11" i="5"/>
  <c r="C81" i="5"/>
  <c r="F81" i="5" s="1"/>
  <c r="I81" i="5" s="1"/>
  <c r="E80" i="5"/>
  <c r="H80" i="5" s="1"/>
  <c r="K80" i="5" s="1"/>
  <c r="D80" i="5"/>
  <c r="G80" i="5" s="1"/>
  <c r="J80" i="5" s="1"/>
  <c r="C82" i="5" l="1"/>
  <c r="F82" i="5" s="1"/>
  <c r="I82" i="5" s="1"/>
  <c r="E81" i="5"/>
  <c r="H81" i="5" s="1"/>
  <c r="K81" i="5" s="1"/>
  <c r="D81" i="5"/>
  <c r="G81" i="5" s="1"/>
  <c r="J81" i="5" s="1"/>
  <c r="C83" i="5" l="1"/>
  <c r="F83" i="5" s="1"/>
  <c r="I83" i="5" s="1"/>
  <c r="E82" i="5"/>
  <c r="H82" i="5" s="1"/>
  <c r="K82" i="5" s="1"/>
  <c r="D82" i="5"/>
  <c r="G82" i="5" s="1"/>
  <c r="J82" i="5" s="1"/>
  <c r="C84" i="5" l="1"/>
  <c r="F84" i="5" s="1"/>
  <c r="I84" i="5" s="1"/>
  <c r="E83" i="5"/>
  <c r="H83" i="5" s="1"/>
  <c r="K83" i="5" s="1"/>
  <c r="D83" i="5"/>
  <c r="G83" i="5" s="1"/>
  <c r="J83" i="5" s="1"/>
  <c r="C85" i="5" l="1"/>
  <c r="F85" i="5" s="1"/>
  <c r="I85" i="5" s="1"/>
  <c r="E84" i="5"/>
  <c r="H84" i="5" s="1"/>
  <c r="K84" i="5" s="1"/>
  <c r="D84" i="5"/>
  <c r="G84" i="5" s="1"/>
  <c r="J84" i="5" s="1"/>
  <c r="C86" i="5" l="1"/>
  <c r="F86" i="5" s="1"/>
  <c r="I86" i="5" s="1"/>
  <c r="E85" i="5"/>
  <c r="H85" i="5" s="1"/>
  <c r="K85" i="5" s="1"/>
  <c r="D85" i="5"/>
  <c r="G85" i="5" s="1"/>
  <c r="J85" i="5" s="1"/>
  <c r="C87" i="5" l="1"/>
  <c r="F87" i="5" s="1"/>
  <c r="I87" i="5" s="1"/>
  <c r="E86" i="5"/>
  <c r="H86" i="5" s="1"/>
  <c r="K86" i="5" s="1"/>
  <c r="D86" i="5"/>
  <c r="G86" i="5" s="1"/>
  <c r="J86" i="5" s="1"/>
  <c r="C88" i="5" l="1"/>
  <c r="F88" i="5" s="1"/>
  <c r="I88" i="5" s="1"/>
  <c r="E87" i="5"/>
  <c r="H87" i="5" s="1"/>
  <c r="K87" i="5" s="1"/>
  <c r="D87" i="5"/>
  <c r="G87" i="5" s="1"/>
  <c r="J87" i="5" s="1"/>
  <c r="J2" i="4"/>
  <c r="I2" i="4"/>
  <c r="C36" i="5"/>
  <c r="C35" i="5"/>
  <c r="C34" i="5"/>
  <c r="B8" i="5" l="1"/>
  <c r="C89" i="5"/>
  <c r="F89" i="5" s="1"/>
  <c r="I89" i="5" s="1"/>
  <c r="E88" i="5"/>
  <c r="H88" i="5" s="1"/>
  <c r="K88" i="5" s="1"/>
  <c r="D88" i="5"/>
  <c r="G88" i="5" s="1"/>
  <c r="J88" i="5" s="1"/>
  <c r="H2" i="4"/>
  <c r="C90" i="5" l="1"/>
  <c r="F90" i="5" s="1"/>
  <c r="I90" i="5" s="1"/>
  <c r="E89" i="5"/>
  <c r="H89" i="5" s="1"/>
  <c r="K89" i="5" s="1"/>
  <c r="B19" i="5"/>
  <c r="B22" i="5" s="1"/>
  <c r="B20" i="5"/>
  <c r="B23" i="5" s="1"/>
  <c r="D89" i="5"/>
  <c r="G89" i="5" s="1"/>
  <c r="J89" i="5" s="1"/>
  <c r="B18" i="5"/>
  <c r="B21" i="5" s="1"/>
  <c r="B30" i="5"/>
  <c r="B15" i="5"/>
  <c r="B26" i="5"/>
  <c r="B28" i="5"/>
  <c r="B13" i="5"/>
  <c r="B31" i="5"/>
  <c r="B32" i="5"/>
  <c r="B14" i="5"/>
  <c r="B25" i="5"/>
  <c r="B24" i="5"/>
  <c r="B29" i="5"/>
  <c r="B27" i="5"/>
  <c r="B16" i="5"/>
  <c r="C91" i="5" l="1"/>
  <c r="F91" i="5" s="1"/>
  <c r="I91" i="5" s="1"/>
  <c r="E90" i="5"/>
  <c r="H90" i="5" s="1"/>
  <c r="K90" i="5" s="1"/>
  <c r="D90" i="5"/>
  <c r="G90" i="5" s="1"/>
  <c r="J90" i="5" s="1"/>
  <c r="C92" i="5" l="1"/>
  <c r="F92" i="5" s="1"/>
  <c r="I92" i="5" s="1"/>
  <c r="E91" i="5"/>
  <c r="H91" i="5" s="1"/>
  <c r="K91" i="5" s="1"/>
  <c r="D91" i="5"/>
  <c r="G91" i="5" s="1"/>
  <c r="J91" i="5" s="1"/>
  <c r="F93" i="5" l="1"/>
  <c r="I93" i="5"/>
  <c r="I94" i="5" s="1"/>
  <c r="C93" i="5"/>
  <c r="E92" i="5"/>
  <c r="H92" i="5" s="1"/>
  <c r="K92" i="5" s="1"/>
  <c r="D92" i="5"/>
  <c r="G92" i="5" s="1"/>
  <c r="J92" i="5" s="1"/>
  <c r="C94" i="5" l="1"/>
  <c r="F94" i="5"/>
  <c r="I95" i="5"/>
  <c r="F95" i="5"/>
  <c r="C95" i="5"/>
  <c r="H93" i="5"/>
  <c r="K93" i="5"/>
  <c r="E93" i="5"/>
  <c r="D93" i="5"/>
  <c r="G93" i="5"/>
  <c r="J93" i="5"/>
  <c r="I96" i="5" l="1"/>
  <c r="F96" i="5"/>
  <c r="C96" i="5"/>
  <c r="H94" i="5"/>
  <c r="E94" i="5"/>
  <c r="K94" i="5"/>
  <c r="G94" i="5"/>
  <c r="J94" i="5"/>
  <c r="D94" i="5"/>
  <c r="C97" i="5" l="1"/>
  <c r="F97" i="5"/>
  <c r="I97" i="5"/>
  <c r="E95" i="5"/>
  <c r="H95" i="5"/>
  <c r="K95" i="5"/>
  <c r="G95" i="5"/>
  <c r="J95" i="5"/>
  <c r="D95" i="5"/>
  <c r="I98" i="5" l="1"/>
  <c r="F98" i="5"/>
  <c r="C98" i="5"/>
  <c r="E96" i="5"/>
  <c r="H96" i="5"/>
  <c r="K96" i="5"/>
  <c r="J96" i="5"/>
  <c r="D96" i="5"/>
  <c r="G96" i="5"/>
  <c r="I99" i="5" l="1"/>
  <c r="F99" i="5"/>
  <c r="C99" i="5"/>
  <c r="K97" i="5"/>
  <c r="H97" i="5"/>
  <c r="E97" i="5"/>
  <c r="D97" i="5"/>
  <c r="J97" i="5"/>
  <c r="G97" i="5"/>
  <c r="I100" i="5" l="1"/>
  <c r="F100" i="5"/>
  <c r="C100" i="5"/>
  <c r="K98" i="5"/>
  <c r="E98" i="5"/>
  <c r="H98" i="5"/>
  <c r="G98" i="5"/>
  <c r="D98" i="5"/>
  <c r="J98" i="5"/>
  <c r="I101" i="5" l="1"/>
  <c r="F101" i="5"/>
  <c r="C101" i="5"/>
  <c r="E99" i="5"/>
  <c r="H99" i="5"/>
  <c r="K99" i="5"/>
  <c r="D99" i="5"/>
  <c r="G99" i="5"/>
  <c r="J99" i="5"/>
  <c r="F102" i="5" l="1"/>
  <c r="C102" i="5"/>
  <c r="I102" i="5"/>
  <c r="E100" i="5"/>
  <c r="H100" i="5"/>
  <c r="K100" i="5"/>
  <c r="G100" i="5"/>
  <c r="D100" i="5"/>
  <c r="J100" i="5"/>
  <c r="I103" i="5" l="1"/>
  <c r="F103" i="5"/>
  <c r="C103" i="5"/>
  <c r="E101" i="5"/>
  <c r="H101" i="5"/>
  <c r="K101" i="5"/>
  <c r="G101" i="5"/>
  <c r="D101" i="5"/>
  <c r="J101" i="5"/>
  <c r="I104" i="5" l="1"/>
  <c r="F104" i="5"/>
  <c r="C104" i="5"/>
  <c r="H102" i="5"/>
  <c r="K102" i="5"/>
  <c r="E102" i="5"/>
  <c r="G102" i="5"/>
  <c r="D102" i="5"/>
  <c r="J102" i="5"/>
  <c r="I105" i="5" l="1"/>
  <c r="F105" i="5"/>
  <c r="C105" i="5"/>
  <c r="K103" i="5"/>
  <c r="E103" i="5"/>
  <c r="H103" i="5"/>
  <c r="G103" i="5"/>
  <c r="J103" i="5"/>
  <c r="D103" i="5"/>
  <c r="I106" i="5" l="1"/>
  <c r="F106" i="5"/>
  <c r="C106" i="5"/>
  <c r="E104" i="5"/>
  <c r="H104" i="5"/>
  <c r="K104" i="5"/>
  <c r="J104" i="5"/>
  <c r="G104" i="5"/>
  <c r="D104" i="5"/>
  <c r="I107" i="5" l="1"/>
  <c r="F107" i="5"/>
  <c r="C107" i="5"/>
  <c r="K105" i="5"/>
  <c r="H105" i="5"/>
  <c r="E105" i="5"/>
  <c r="J105" i="5"/>
  <c r="D105" i="5"/>
  <c r="G105" i="5"/>
  <c r="I108" i="5" l="1"/>
  <c r="C108" i="5"/>
  <c r="F108" i="5"/>
  <c r="K106" i="5"/>
  <c r="H106" i="5"/>
  <c r="E106" i="5"/>
  <c r="J106" i="5"/>
  <c r="D106" i="5"/>
  <c r="G106" i="5"/>
  <c r="I109" i="5" l="1"/>
  <c r="F109" i="5"/>
  <c r="C109" i="5"/>
  <c r="K107" i="5"/>
  <c r="E107" i="5"/>
  <c r="H107" i="5"/>
  <c r="J107" i="5"/>
  <c r="G107" i="5"/>
  <c r="D107" i="5"/>
  <c r="I110" i="5" l="1"/>
  <c r="F110" i="5"/>
  <c r="C110" i="5"/>
  <c r="K108" i="5"/>
  <c r="E108" i="5"/>
  <c r="H108" i="5"/>
  <c r="G108" i="5"/>
  <c r="J108" i="5"/>
  <c r="D108" i="5"/>
  <c r="I111" i="5" l="1"/>
  <c r="F111" i="5"/>
  <c r="C111" i="5"/>
  <c r="H109" i="5"/>
  <c r="K109" i="5"/>
  <c r="E109" i="5"/>
  <c r="D109" i="5"/>
  <c r="J109" i="5"/>
  <c r="G109" i="5"/>
  <c r="I112" i="5" l="1"/>
  <c r="F112" i="5"/>
  <c r="C112" i="5"/>
  <c r="H110" i="5"/>
  <c r="K110" i="5"/>
  <c r="E110" i="5"/>
  <c r="J110" i="5"/>
  <c r="G110" i="5"/>
  <c r="D110" i="5"/>
  <c r="C113" i="5" l="1"/>
  <c r="F113" i="5"/>
  <c r="I113" i="5"/>
  <c r="E111" i="5"/>
  <c r="K111" i="5"/>
  <c r="H111" i="5"/>
  <c r="G111" i="5"/>
  <c r="D111" i="5"/>
  <c r="J111" i="5"/>
  <c r="I114" i="5" l="1"/>
  <c r="F114" i="5"/>
  <c r="C114" i="5"/>
  <c r="K112" i="5"/>
  <c r="E112" i="5"/>
  <c r="H112" i="5"/>
  <c r="G112" i="5"/>
  <c r="D112" i="5"/>
  <c r="J112" i="5"/>
  <c r="I115" i="5" l="1"/>
  <c r="F115" i="5"/>
  <c r="C115" i="5"/>
  <c r="E113" i="5"/>
  <c r="H113" i="5"/>
  <c r="K113" i="5"/>
  <c r="D113" i="5"/>
  <c r="G113" i="5"/>
  <c r="J113" i="5"/>
  <c r="I116" i="5" l="1"/>
  <c r="F116" i="5"/>
  <c r="C116" i="5"/>
  <c r="K114" i="5"/>
  <c r="E114" i="5"/>
  <c r="H114" i="5"/>
  <c r="J114" i="5"/>
  <c r="D114" i="5"/>
  <c r="G114" i="5"/>
  <c r="I117" i="5" l="1"/>
  <c r="F117" i="5"/>
  <c r="C117" i="5"/>
  <c r="H115" i="5"/>
  <c r="E115" i="5"/>
  <c r="K115" i="5"/>
  <c r="D115" i="5"/>
  <c r="J115" i="5"/>
  <c r="G115" i="5"/>
  <c r="F118" i="5" l="1"/>
  <c r="C118" i="5"/>
  <c r="I118" i="5"/>
  <c r="H116" i="5"/>
  <c r="E116" i="5"/>
  <c r="K116" i="5"/>
  <c r="D116" i="5"/>
  <c r="J116" i="5"/>
  <c r="G116" i="5"/>
  <c r="I119" i="5" l="1"/>
  <c r="F119" i="5"/>
  <c r="C119" i="5"/>
  <c r="K117" i="5"/>
  <c r="E117" i="5"/>
  <c r="H117" i="5"/>
  <c r="J117" i="5"/>
  <c r="G117" i="5"/>
  <c r="D117" i="5"/>
  <c r="I120" i="5" l="1"/>
  <c r="F120" i="5"/>
  <c r="C120" i="5"/>
  <c r="H118" i="5"/>
  <c r="K118" i="5"/>
  <c r="E118" i="5"/>
  <c r="J118" i="5"/>
  <c r="G118" i="5"/>
  <c r="D118" i="5"/>
  <c r="I121" i="5" l="1"/>
  <c r="F121" i="5"/>
  <c r="C121" i="5"/>
  <c r="K119" i="5"/>
  <c r="E119" i="5"/>
  <c r="H119" i="5"/>
  <c r="J119" i="5"/>
  <c r="G119" i="5"/>
  <c r="D119" i="5"/>
  <c r="I122" i="5" l="1"/>
  <c r="F122" i="5"/>
  <c r="C122" i="5"/>
  <c r="K120" i="5"/>
  <c r="H120" i="5"/>
  <c r="E120" i="5"/>
  <c r="D120" i="5"/>
  <c r="J120" i="5"/>
  <c r="G120" i="5"/>
  <c r="I123" i="5" l="1"/>
  <c r="F123" i="5"/>
  <c r="C123" i="5"/>
  <c r="H121" i="5"/>
  <c r="E121" i="5"/>
  <c r="K121" i="5"/>
  <c r="J121" i="5"/>
  <c r="D121" i="5"/>
  <c r="G121" i="5"/>
  <c r="I124" i="5" l="1"/>
  <c r="C124" i="5"/>
  <c r="F124" i="5"/>
  <c r="K122" i="5"/>
  <c r="E122" i="5"/>
  <c r="H122" i="5"/>
  <c r="D122" i="5"/>
  <c r="G122" i="5"/>
  <c r="J122" i="5"/>
  <c r="I125" i="5" l="1"/>
  <c r="F125" i="5"/>
  <c r="C125" i="5"/>
  <c r="K123" i="5"/>
  <c r="E123" i="5"/>
  <c r="H123" i="5"/>
  <c r="J123" i="5"/>
  <c r="G123" i="5"/>
  <c r="D123" i="5"/>
  <c r="I126" i="5" l="1"/>
  <c r="F126" i="5"/>
  <c r="C126" i="5"/>
  <c r="E124" i="5"/>
  <c r="K124" i="5"/>
  <c r="H124" i="5"/>
  <c r="D124" i="5"/>
  <c r="G124" i="5"/>
  <c r="J124" i="5"/>
  <c r="I127" i="5" l="1"/>
  <c r="F127" i="5"/>
  <c r="C127" i="5"/>
  <c r="H125" i="5"/>
  <c r="K125" i="5"/>
  <c r="E125" i="5"/>
  <c r="G125" i="5"/>
  <c r="J125" i="5"/>
  <c r="D125" i="5"/>
  <c r="I128" i="5" l="1"/>
  <c r="F128" i="5"/>
  <c r="C128" i="5"/>
  <c r="H126" i="5"/>
  <c r="K126" i="5"/>
  <c r="E126" i="5"/>
  <c r="G126" i="5"/>
  <c r="D126" i="5"/>
  <c r="J126" i="5"/>
  <c r="C129" i="5" l="1"/>
  <c r="F129" i="5"/>
  <c r="I129" i="5"/>
  <c r="E127" i="5"/>
  <c r="H127" i="5"/>
  <c r="K127" i="5"/>
  <c r="D127" i="5"/>
  <c r="J127" i="5"/>
  <c r="G127" i="5"/>
  <c r="I130" i="5" l="1"/>
  <c r="F130" i="5"/>
  <c r="C130" i="5"/>
  <c r="K128" i="5"/>
  <c r="E128" i="5"/>
  <c r="H128" i="5"/>
  <c r="J128" i="5"/>
  <c r="G128" i="5"/>
  <c r="D128" i="5"/>
  <c r="I131" i="5" l="1"/>
  <c r="F131" i="5"/>
  <c r="C131" i="5"/>
  <c r="E129" i="5"/>
  <c r="H129" i="5"/>
  <c r="K129" i="5"/>
  <c r="D129" i="5"/>
  <c r="J129" i="5"/>
  <c r="G129" i="5"/>
  <c r="I132" i="5" l="1"/>
  <c r="F132" i="5"/>
  <c r="C132" i="5"/>
  <c r="K130" i="5"/>
  <c r="E130" i="5"/>
  <c r="H130" i="5"/>
  <c r="J130" i="5"/>
  <c r="G130" i="5"/>
  <c r="D130" i="5"/>
  <c r="I133" i="5" l="1"/>
  <c r="F133" i="5"/>
  <c r="C133" i="5"/>
  <c r="K131" i="5"/>
  <c r="E131" i="5"/>
  <c r="H131" i="5"/>
  <c r="J131" i="5"/>
  <c r="G131" i="5"/>
  <c r="D131" i="5"/>
  <c r="F134" i="5" l="1"/>
  <c r="C134" i="5"/>
  <c r="I134" i="5"/>
  <c r="H132" i="5"/>
  <c r="E132" i="5"/>
  <c r="K132" i="5"/>
  <c r="D132" i="5"/>
  <c r="J132" i="5"/>
  <c r="G132" i="5"/>
  <c r="I135" i="5" l="1"/>
  <c r="F135" i="5"/>
  <c r="C135" i="5"/>
  <c r="H133" i="5"/>
  <c r="K133" i="5"/>
  <c r="E133" i="5"/>
  <c r="J133" i="5"/>
  <c r="G133" i="5"/>
  <c r="D133" i="5"/>
  <c r="I136" i="5" l="1"/>
  <c r="F136" i="5"/>
  <c r="C136" i="5"/>
  <c r="H134" i="5"/>
  <c r="E134" i="5"/>
  <c r="K134" i="5"/>
  <c r="G134" i="5"/>
  <c r="J134" i="5"/>
  <c r="D134" i="5"/>
  <c r="I137" i="5" l="1"/>
  <c r="F137" i="5"/>
  <c r="C137" i="5"/>
  <c r="K135" i="5"/>
  <c r="H135" i="5"/>
  <c r="E135" i="5"/>
  <c r="J135" i="5"/>
  <c r="D135" i="5"/>
  <c r="G135" i="5"/>
  <c r="I138" i="5" l="1"/>
  <c r="F138" i="5"/>
  <c r="C138" i="5"/>
  <c r="E136" i="5"/>
  <c r="K136" i="5"/>
  <c r="H136" i="5"/>
  <c r="D136" i="5"/>
  <c r="G136" i="5"/>
  <c r="J136" i="5"/>
  <c r="I139" i="5" l="1"/>
  <c r="F139" i="5"/>
  <c r="C139" i="5"/>
  <c r="K137" i="5"/>
  <c r="E137" i="5"/>
  <c r="H137" i="5"/>
  <c r="J137" i="5"/>
  <c r="D137" i="5"/>
  <c r="G137" i="5"/>
  <c r="K138" i="5" l="1"/>
  <c r="H138" i="5"/>
  <c r="E138" i="5"/>
  <c r="D138" i="5"/>
  <c r="G138" i="5"/>
  <c r="J138" i="5"/>
  <c r="E139" i="5" l="1"/>
  <c r="K139" i="5"/>
  <c r="D36" i="5" s="1"/>
  <c r="J16" i="4" s="1"/>
  <c r="H139" i="5"/>
  <c r="J139" i="5"/>
  <c r="D35" i="5" s="1"/>
  <c r="I16" i="4" s="1"/>
  <c r="D139" i="5"/>
  <c r="G139" i="5"/>
  <c r="D34" i="5"/>
  <c r="H16" i="4" s="1"/>
  <c r="F63" i="5" l="1"/>
  <c r="H7" i="4" s="1"/>
</calcChain>
</file>

<file path=xl/comments1.xml><?xml version="1.0" encoding="utf-8"?>
<comments xmlns="http://schemas.openxmlformats.org/spreadsheetml/2006/main">
  <authors>
    <author>Andrew Saunders</author>
  </authors>
  <commentList>
    <comment ref="L4" authorId="0" shapeId="0">
      <text>
        <r>
          <rPr>
            <b/>
            <sz val="9"/>
            <color indexed="81"/>
            <rFont val="Tahoma"/>
            <family val="2"/>
          </rPr>
          <t xml:space="preserve">Application:
</t>
        </r>
        <r>
          <rPr>
            <sz val="9"/>
            <color indexed="81"/>
            <rFont val="Tahoma"/>
            <family val="2"/>
          </rPr>
          <t>Each frame is recorded with the name of the executable that was profiled by FrameView.
This tests for one unique reported application throughout the capture.
Warnings for this field indicate data from multiple applications is included in the capture.</t>
        </r>
      </text>
    </comment>
    <comment ref="L5" authorId="0" shapeId="0">
      <text>
        <r>
          <rPr>
            <b/>
            <sz val="9"/>
            <color indexed="81"/>
            <rFont val="Tahoma"/>
            <family val="2"/>
          </rPr>
          <t xml:space="preserve">GPU:
</t>
        </r>
        <r>
          <rPr>
            <sz val="9"/>
            <color indexed="81"/>
            <rFont val="Tahoma"/>
            <family val="2"/>
          </rPr>
          <t>Each frame records the graphics card SKU that was responsible for the present.
This tests for one unique reported GPU throughout the capture.
Warnings for this field indicate the rendering GPU was changed during the capture. This could happen in systems with integrated and discrete rendering devices.</t>
        </r>
      </text>
    </comment>
    <comment ref="L6" authorId="0" shapeId="0">
      <text>
        <r>
          <rPr>
            <b/>
            <sz val="9"/>
            <color indexed="81"/>
            <rFont val="Tahoma"/>
            <family val="2"/>
          </rPr>
          <t xml:space="preserve">Resolution:
</t>
        </r>
        <r>
          <rPr>
            <sz val="9"/>
            <color indexed="81"/>
            <rFont val="Tahoma"/>
            <family val="2"/>
          </rPr>
          <t>Each frame records the pixel dimensions of the output image.
This tests for one unique reported resolution for the capture that is not "WINDOWED."
Warnings for this field indicate the rendering resolution was either changed during the capture, perhaps through in-game settings or changing window modes, or a windowed mode was always in use.</t>
        </r>
      </text>
    </comment>
    <comment ref="L7" authorId="0" shapeId="0">
      <text>
        <r>
          <rPr>
            <b/>
            <sz val="9"/>
            <color indexed="81"/>
            <rFont val="Tahoma"/>
            <family val="2"/>
          </rPr>
          <t xml:space="preserve">Runtime:
</t>
        </r>
        <r>
          <rPr>
            <sz val="9"/>
            <color indexed="81"/>
            <rFont val="Tahoma"/>
            <family val="2"/>
          </rPr>
          <t>Each frame records the rendering API used by the application. E.g., D3D9, DXGI, VK.
This tests for one unique reported runtime for the capture that is not "Other."
Warnings for this field indicate the renderer was changed during the capture, perhaps through in-game settings or changing window modes ("Other").</t>
        </r>
      </text>
    </comment>
    <comment ref="L8" authorId="0" shapeId="0">
      <text>
        <r>
          <rPr>
            <b/>
            <sz val="9"/>
            <color indexed="81"/>
            <rFont val="Tahoma"/>
            <family val="2"/>
          </rPr>
          <t xml:space="preserve">Allows Tearing:
</t>
        </r>
        <r>
          <rPr>
            <sz val="9"/>
            <color indexed="81"/>
            <rFont val="Tahoma"/>
            <family val="2"/>
          </rPr>
          <t>The possibility of a frame tearing when it was presented.
This tests for at least one such possibility in the capture.
Warnings for this field indicate a synchronization policy such as variable refresh rate, vertical synchronization, or DWM compositing was active during the capture.</t>
        </r>
      </text>
    </comment>
    <comment ref="L9" authorId="0" shapeId="0">
      <text>
        <r>
          <rPr>
            <b/>
            <sz val="9"/>
            <color indexed="81"/>
            <rFont val="Tahoma"/>
            <family val="2"/>
          </rPr>
          <t xml:space="preserve">Process ID:
</t>
        </r>
        <r>
          <rPr>
            <sz val="9"/>
            <color indexed="81"/>
            <rFont val="Tahoma"/>
            <family val="2"/>
          </rPr>
          <t>The ID of the process that called the captured present.
This tests for one unique reported process ID for the capture.
Like Application tests, warnings for this field indicate the capture includes data from another application.</t>
        </r>
      </text>
    </comment>
    <comment ref="L10" authorId="0" shapeId="0">
      <text>
        <r>
          <rPr>
            <b/>
            <sz val="9"/>
            <color indexed="81"/>
            <rFont val="Tahoma"/>
            <family val="2"/>
          </rPr>
          <t xml:space="preserve">Swap Chain Address:
</t>
        </r>
        <r>
          <rPr>
            <sz val="9"/>
            <color indexed="81"/>
            <rFont val="Tahoma"/>
            <family val="2"/>
          </rPr>
          <t>The address of the swap chain for the captured present.
This tests for one unique reported swap chain address for the capture.
Warnings for this field indicate a disruptive change in the render pipeline.</t>
        </r>
      </text>
    </comment>
    <comment ref="L11" authorId="0" shapeId="0">
      <text>
        <r>
          <rPr>
            <b/>
            <sz val="9"/>
            <color indexed="81"/>
            <rFont val="Tahoma"/>
            <family val="2"/>
          </rPr>
          <t>Sync Interval:</t>
        </r>
        <r>
          <rPr>
            <sz val="9"/>
            <color indexed="81"/>
            <rFont val="Tahoma"/>
            <family val="2"/>
          </rPr>
          <t xml:space="preserve">
Describes the minimum number of vertical blanking intervals a frame is synchronized to.
This tests for any value greater than zero in the capture.
Warnings for this field indicate a V-Sync policy was used by the application.</t>
        </r>
      </text>
    </comment>
    <comment ref="L12" authorId="0" shapeId="0">
      <text>
        <r>
          <rPr>
            <b/>
            <sz val="9"/>
            <color indexed="81"/>
            <rFont val="Tahoma"/>
            <family val="2"/>
          </rPr>
          <t xml:space="preserve">Present Flags:
</t>
        </r>
        <r>
          <rPr>
            <sz val="9"/>
            <color indexed="81"/>
            <rFont val="Tahoma"/>
            <family val="2"/>
          </rPr>
          <t>Flags used in the present call, as prescribed by the application.
This tests for one unique reported value for the capture.
Warnings for this field indicate the render state changed during the capture, perhaps from changing settings or window mode.</t>
        </r>
      </text>
    </comment>
    <comment ref="L13" authorId="0" shapeId="0">
      <text>
        <r>
          <rPr>
            <b/>
            <sz val="9"/>
            <color indexed="81"/>
            <rFont val="Tahoma"/>
            <family val="2"/>
          </rPr>
          <t xml:space="preserve">Present Mode:
</t>
        </r>
        <r>
          <rPr>
            <sz val="9"/>
            <color indexed="81"/>
            <rFont val="Tahoma"/>
            <family val="2"/>
          </rPr>
          <t>Describes the flip model used to compose the frame.
This tests for Hardware-based flip models and also that only one flip model was used.
Warnings for this field indicate a less optimal (software-based) model may have been used, or the flip model changed at least once in the capture. Either can suggest the use of windowed mode, overlaid notifications, or focus changes.</t>
        </r>
      </text>
    </comment>
    <comment ref="L14" authorId="0" shapeId="0">
      <text>
        <r>
          <rPr>
            <b/>
            <sz val="9"/>
            <color indexed="81"/>
            <rFont val="Tahoma"/>
            <family val="2"/>
          </rPr>
          <t xml:space="preserve">Dropped Frame:
</t>
        </r>
        <r>
          <rPr>
            <sz val="9"/>
            <color indexed="81"/>
            <rFont val="Tahoma"/>
            <family val="2"/>
          </rPr>
          <t>Detects if a frame was rendered but not presented ("dropped").
This tests for any dropped frames in the capture.
Warnings for this field indicate there was at least one dropped frame, perhaps from changing settings or window mode.</t>
        </r>
      </text>
    </comment>
    <comment ref="L15" authorId="0" shapeId="0">
      <text>
        <r>
          <rPr>
            <b/>
            <sz val="9"/>
            <color indexed="81"/>
            <rFont val="Tahoma"/>
            <family val="2"/>
          </rPr>
          <t xml:space="preserve">MsBetweenDisplayChange:
</t>
        </r>
        <r>
          <rPr>
            <sz val="9"/>
            <color indexed="81"/>
            <rFont val="Tahoma"/>
            <family val="2"/>
          </rPr>
          <t xml:space="preserve">The time delta (in milliseconds) between the display times of two frames.
A warning for this field indicates at least one value was zero, which can be caused by dropped frames or changing window focus. 
If zeroes are detected, frame rate plots and calculations for this capture will instead use </t>
        </r>
        <r>
          <rPr>
            <b/>
            <sz val="9"/>
            <color indexed="81"/>
            <rFont val="Tahoma"/>
            <family val="2"/>
          </rPr>
          <t>MsBetweenPresents</t>
        </r>
        <r>
          <rPr>
            <sz val="9"/>
            <color indexed="81"/>
            <rFont val="Tahoma"/>
            <family val="2"/>
          </rPr>
          <t xml:space="preserve"> data, resulting in some accuracy loss.</t>
        </r>
      </text>
    </comment>
    <comment ref="B17" authorId="0" shapeId="0">
      <text>
        <r>
          <rPr>
            <b/>
            <sz val="9"/>
            <color indexed="81"/>
            <rFont val="Tahoma"/>
            <family val="2"/>
          </rPr>
          <t xml:space="preserve">Chart Titles:
</t>
        </r>
        <r>
          <rPr>
            <sz val="9"/>
            <color indexed="81"/>
            <rFont val="Tahoma"/>
            <family val="2"/>
          </rPr>
          <t>Specify a custom template for chart titles, which will appear over all plots by default.</t>
        </r>
        <r>
          <rPr>
            <b/>
            <sz val="9"/>
            <color indexed="81"/>
            <rFont val="Tahoma"/>
            <family val="2"/>
          </rPr>
          <t xml:space="preserve">
</t>
        </r>
        <r>
          <rPr>
            <sz val="9"/>
            <color indexed="81"/>
            <rFont val="Tahoma"/>
            <family val="2"/>
          </rPr>
          <t xml:space="preserve">Available tags: [Application], [Runtime], [Resolution], [GPU], and [Variable]. Tags must be spelled correctly and enclosed by square brackets. All tags are optional and can be repeated if desired.
If there is any discrepancy in capture properties between the three files, generic fallback text will be returned.
</t>
        </r>
        <r>
          <rPr>
            <b/>
            <sz val="9"/>
            <color indexed="81"/>
            <rFont val="Tahoma"/>
            <family val="2"/>
          </rPr>
          <t>Default:</t>
        </r>
        <r>
          <rPr>
            <sz val="9"/>
            <color indexed="81"/>
            <rFont val="Tahoma"/>
            <family val="2"/>
          </rPr>
          <t xml:space="preserve"> [Application] ([Runtime]) at [Resolution] w/ [GPU] | </t>
        </r>
      </text>
    </comment>
    <comment ref="B18" authorId="0" shapeId="0">
      <text>
        <r>
          <rPr>
            <b/>
            <sz val="9"/>
            <color indexed="81"/>
            <rFont val="Tahoma"/>
            <family val="2"/>
          </rPr>
          <t xml:space="preserve">Capture Label:
</t>
        </r>
        <r>
          <rPr>
            <sz val="9"/>
            <color indexed="81"/>
            <rFont val="Tahoma"/>
            <family val="2"/>
          </rPr>
          <t xml:space="preserve">Specify how capture files are represented in the charts.
Available tags: [Application], [Runtime], [Resolution], [GPU], and [Variable]. Tags must be spelled correctly and enclosed by square brackets. All tags are optional and can be repeated if desired.
If no extra variable is provided, the capture slot will be shown.
</t>
        </r>
        <r>
          <rPr>
            <b/>
            <sz val="9"/>
            <color indexed="81"/>
            <rFont val="Tahoma"/>
            <family val="2"/>
          </rPr>
          <t>Default:</t>
        </r>
        <r>
          <rPr>
            <sz val="9"/>
            <color indexed="81"/>
            <rFont val="Tahoma"/>
            <family val="2"/>
          </rPr>
          <t xml:space="preserve"> [Variable]</t>
        </r>
      </text>
    </comment>
  </commentList>
</comments>
</file>

<file path=xl/comments2.xml><?xml version="1.0" encoding="utf-8"?>
<comments xmlns="http://schemas.openxmlformats.org/spreadsheetml/2006/main">
  <authors>
    <author>Andrew</author>
  </authors>
  <commentList>
    <comment ref="A142" authorId="0" shapeId="0">
      <text>
        <r>
          <rPr>
            <b/>
            <sz val="9"/>
            <color indexed="81"/>
            <rFont val="Tahoma"/>
            <family val="2"/>
          </rPr>
          <t xml:space="preserve">1 </t>
        </r>
        <r>
          <rPr>
            <sz val="9"/>
            <color indexed="81"/>
            <rFont val="Tahoma"/>
            <family val="2"/>
          </rPr>
          <t>= GPU Only</t>
        </r>
        <r>
          <rPr>
            <b/>
            <sz val="9"/>
            <color indexed="81"/>
            <rFont val="Tahoma"/>
            <family val="2"/>
          </rPr>
          <t xml:space="preserve">
2 </t>
        </r>
        <r>
          <rPr>
            <sz val="9"/>
            <color indexed="81"/>
            <rFont val="Tahoma"/>
            <family val="2"/>
          </rPr>
          <t>= Board Power</t>
        </r>
        <r>
          <rPr>
            <b/>
            <sz val="9"/>
            <color indexed="81"/>
            <rFont val="Tahoma"/>
            <family val="2"/>
          </rPr>
          <t xml:space="preserve">
3 </t>
        </r>
        <r>
          <rPr>
            <sz val="9"/>
            <color indexed="81"/>
            <rFont val="Tahoma"/>
            <family val="2"/>
          </rPr>
          <t>= Power Capture Analysis Tool (PCAT)</t>
        </r>
      </text>
    </comment>
  </commentList>
</comments>
</file>

<file path=xl/sharedStrings.xml><?xml version="1.0" encoding="utf-8"?>
<sst xmlns="http://schemas.openxmlformats.org/spreadsheetml/2006/main" count="301" uniqueCount="270">
  <si>
    <t>Elapsed Time</t>
  </si>
  <si>
    <t>Performance</t>
  </si>
  <si>
    <t>Application</t>
  </si>
  <si>
    <t>Resolution</t>
  </si>
  <si>
    <t>Chip Power Draw (NV)</t>
  </si>
  <si>
    <t>Chip Power Draw (AMD)</t>
  </si>
  <si>
    <t>Board Power Draw (AMD)</t>
  </si>
  <si>
    <t>Board Power Draw (NV)</t>
  </si>
  <si>
    <t>Chip Perf/Watt (NV)</t>
  </si>
  <si>
    <t>Chip Perf/Watt (AMD)</t>
  </si>
  <si>
    <t>Board Perf/Watt (NV)</t>
  </si>
  <si>
    <t>Board Perf/Watt (AMD)</t>
  </si>
  <si>
    <t>Options</t>
  </si>
  <si>
    <t>Power Scheme</t>
  </si>
  <si>
    <t>Hardware Detection</t>
  </si>
  <si>
    <t>Length</t>
  </si>
  <si>
    <t>Performance (Fallback)</t>
  </si>
  <si>
    <t>CPU Threads</t>
  </si>
  <si>
    <t>Core #1</t>
  </si>
  <si>
    <t>Core #2</t>
  </si>
  <si>
    <t>Core #3</t>
  </si>
  <si>
    <t>Core #4</t>
  </si>
  <si>
    <t>Core #5</t>
  </si>
  <si>
    <t>Core #6</t>
  </si>
  <si>
    <t>Core #7</t>
  </si>
  <si>
    <t>Core #8</t>
  </si>
  <si>
    <t>Core #9</t>
  </si>
  <si>
    <t>Core #10</t>
  </si>
  <si>
    <t>Core #11</t>
  </si>
  <si>
    <t>Core #12</t>
  </si>
  <si>
    <t>Core #13</t>
  </si>
  <si>
    <t>Core #14</t>
  </si>
  <si>
    <t>Core #15</t>
  </si>
  <si>
    <t>Core #16</t>
  </si>
  <si>
    <t>Core #17</t>
  </si>
  <si>
    <t>Core #18</t>
  </si>
  <si>
    <t>Core #19</t>
  </si>
  <si>
    <t>Core #20</t>
  </si>
  <si>
    <t>Core #21</t>
  </si>
  <si>
    <t>Core #22</t>
  </si>
  <si>
    <t>Core #23</t>
  </si>
  <si>
    <t>Core #24</t>
  </si>
  <si>
    <t>Core #25</t>
  </si>
  <si>
    <t>Core #26</t>
  </si>
  <si>
    <t>Core #27</t>
  </si>
  <si>
    <t>Core #28</t>
  </si>
  <si>
    <t>Core #29</t>
  </si>
  <si>
    <t>Core #30</t>
  </si>
  <si>
    <t>Core #31</t>
  </si>
  <si>
    <t>Core #32</t>
  </si>
  <si>
    <t>Core #33</t>
  </si>
  <si>
    <t>Core #34</t>
  </si>
  <si>
    <t>Core #35</t>
  </si>
  <si>
    <t>Core #36</t>
  </si>
  <si>
    <t>Core #37</t>
  </si>
  <si>
    <t>Core #38</t>
  </si>
  <si>
    <t>Core #39</t>
  </si>
  <si>
    <t>Core #40</t>
  </si>
  <si>
    <t>Core #41</t>
  </si>
  <si>
    <t>Core #42</t>
  </si>
  <si>
    <t>Core #43</t>
  </si>
  <si>
    <t>Core #44</t>
  </si>
  <si>
    <t>Core #45</t>
  </si>
  <si>
    <t>Core #46</t>
  </si>
  <si>
    <t>Core #47</t>
  </si>
  <si>
    <t>Core #48</t>
  </si>
  <si>
    <t>Core #49</t>
  </si>
  <si>
    <t>Core #50</t>
  </si>
  <si>
    <t>Core #51</t>
  </si>
  <si>
    <t>Core #52</t>
  </si>
  <si>
    <t>Core #53</t>
  </si>
  <si>
    <t>Core #54</t>
  </si>
  <si>
    <t>Core #55</t>
  </si>
  <si>
    <t>Core #56</t>
  </si>
  <si>
    <t>Core #57</t>
  </si>
  <si>
    <t>Core #58</t>
  </si>
  <si>
    <t>Core #59</t>
  </si>
  <si>
    <t>Core #60</t>
  </si>
  <si>
    <t>Core #61</t>
  </si>
  <si>
    <t>Core #62</t>
  </si>
  <si>
    <t>Core #63</t>
  </si>
  <si>
    <t>Core #64</t>
  </si>
  <si>
    <t>TimeInSeconds</t>
  </si>
  <si>
    <t>MsBetweenPresents</t>
  </si>
  <si>
    <t>MsBetweenDisplayChange</t>
  </si>
  <si>
    <t>CPUCoreUtil%[ 0]</t>
  </si>
  <si>
    <t>CPUCoreUtil%[ 1]</t>
  </si>
  <si>
    <t>CPUCoreUtil%[ 2]</t>
  </si>
  <si>
    <t>CPUCoreUtil%[ 3]</t>
  </si>
  <si>
    <t>CPUCoreUtil%[ 4]</t>
  </si>
  <si>
    <t>CPUCoreUtil%[ 5]</t>
  </si>
  <si>
    <t>CPUCoreUtil%[ 6]</t>
  </si>
  <si>
    <t>CPUCoreUtil%[ 7]</t>
  </si>
  <si>
    <t>CPUCoreUtil%[ 8]</t>
  </si>
  <si>
    <t>CPUCoreUtil%[ 9]</t>
  </si>
  <si>
    <t>CPUCoreUtil%[10]</t>
  </si>
  <si>
    <t>CPUCoreUtil%[11]</t>
  </si>
  <si>
    <t>CPUCoreUtil%[12]</t>
  </si>
  <si>
    <t>CPUCoreUtil%[13]</t>
  </si>
  <si>
    <t>CPUCoreUtil%[14]</t>
  </si>
  <si>
    <t>CPUCoreUtil%[15]</t>
  </si>
  <si>
    <t>CPUCoreUtil%[16]</t>
  </si>
  <si>
    <t>CPUCoreUtil%[17]</t>
  </si>
  <si>
    <t>CPUCoreUtil%[18]</t>
  </si>
  <si>
    <t>CPUCoreUtil%[19]</t>
  </si>
  <si>
    <t>CPUCoreUtil%[20]</t>
  </si>
  <si>
    <t>CPUCoreUtil%[21]</t>
  </si>
  <si>
    <t>CPUCoreUtil%[22]</t>
  </si>
  <si>
    <t>CPUCoreUtil%[23]</t>
  </si>
  <si>
    <t>CPUCoreUtil%[24]</t>
  </si>
  <si>
    <t>CPUCoreUtil%[25]</t>
  </si>
  <si>
    <t>CPUCoreUtil%[26]</t>
  </si>
  <si>
    <t>CPUCoreUtil%[27]</t>
  </si>
  <si>
    <t>CPUCoreUtil%[28]</t>
  </si>
  <si>
    <t>CPUCoreUtil%[29]</t>
  </si>
  <si>
    <t>CPUCoreUtil%[30]</t>
  </si>
  <si>
    <t>CPUCoreUtil%[31]</t>
  </si>
  <si>
    <t>CPUCoreUtil%[32]</t>
  </si>
  <si>
    <t>CPUCoreUtil%[33]</t>
  </si>
  <si>
    <t>CPUCoreUtil%[34]</t>
  </si>
  <si>
    <t>CPUCoreUtil%[35]</t>
  </si>
  <si>
    <t>CPUCoreUtil%[36]</t>
  </si>
  <si>
    <t>CPUCoreUtil%[37]</t>
  </si>
  <si>
    <t>CPUCoreUtil%[38]</t>
  </si>
  <si>
    <t>CPUCoreUtil%[39]</t>
  </si>
  <si>
    <t>CPUCoreUtil%[40]</t>
  </si>
  <si>
    <t>CPUCoreUtil%[41]</t>
  </si>
  <si>
    <t>CPUCoreUtil%[42]</t>
  </si>
  <si>
    <t>CPUCoreUtil%[43]</t>
  </si>
  <si>
    <t>CPUCoreUtil%[44]</t>
  </si>
  <si>
    <t>CPUCoreUtil%[45]</t>
  </si>
  <si>
    <t>CPUCoreUtil%[46]</t>
  </si>
  <si>
    <t>CPUCoreUtil%[47]</t>
  </si>
  <si>
    <t>CPUCoreUtil%[48]</t>
  </si>
  <si>
    <t>CPUCoreUtil%[49]</t>
  </si>
  <si>
    <t>CPUCoreUtil%[50]</t>
  </si>
  <si>
    <t>CPUCoreUtil%[51]</t>
  </si>
  <si>
    <t>CPUCoreUtil%[52]</t>
  </si>
  <si>
    <t>CPUCoreUtil%[53]</t>
  </si>
  <si>
    <t>CPUCoreUtil%[54]</t>
  </si>
  <si>
    <t>CPUCoreUtil%[55]</t>
  </si>
  <si>
    <t>CPUCoreUtil%[56]</t>
  </si>
  <si>
    <t>CPUCoreUtil%[57]</t>
  </si>
  <si>
    <t>CPUCoreUtil%[58]</t>
  </si>
  <si>
    <t>CPUCoreUtil%[59]</t>
  </si>
  <si>
    <t>CPUCoreUtil%[60]</t>
  </si>
  <si>
    <t>CPUCoreUtil%[61]</t>
  </si>
  <si>
    <t>CPUCoreUtil%[62]</t>
  </si>
  <si>
    <t>CPUCoreUtil%[63]</t>
  </si>
  <si>
    <t>Graphics Card</t>
  </si>
  <si>
    <t>Capture Properties</t>
  </si>
  <si>
    <t>CPUClk(MHz)</t>
  </si>
  <si>
    <t>GPU0Clk(MHz)</t>
  </si>
  <si>
    <t>GPU0Util(%)</t>
  </si>
  <si>
    <t>GPU0Temp(C)</t>
  </si>
  <si>
    <t>Capture Duration (s)</t>
  </si>
  <si>
    <t>CPU Clock</t>
  </si>
  <si>
    <t>GPU0 Clock</t>
  </si>
  <si>
    <t>GPU0 Utilization</t>
  </si>
  <si>
    <t>GPU0 Temperature</t>
  </si>
  <si>
    <t>Average Per-Core Util</t>
  </si>
  <si>
    <t>Static Chart Properties</t>
  </si>
  <si>
    <t>Reported GPU</t>
  </si>
  <si>
    <t>GPU</t>
  </si>
  <si>
    <t>Runtime</t>
  </si>
  <si>
    <t>Reported Values</t>
  </si>
  <si>
    <t>Reported Application</t>
  </si>
  <si>
    <t>Cores</t>
  </si>
  <si>
    <t>CPU</t>
  </si>
  <si>
    <t>Capture #1</t>
  </si>
  <si>
    <t>Capture #2</t>
  </si>
  <si>
    <t>Capture #3</t>
  </si>
  <si>
    <t>Capture #1 CSV</t>
  </si>
  <si>
    <t>Capture #2 CSV</t>
  </si>
  <si>
    <t>Capture #3 CSV</t>
  </si>
  <si>
    <t>Reported CPU</t>
  </si>
  <si>
    <t>Capture Tags</t>
  </si>
  <si>
    <t>Chart Title Tags</t>
  </si>
  <si>
    <t>Chart Title Templates</t>
  </si>
  <si>
    <t>Render Queue Depth</t>
  </si>
  <si>
    <t>Label Templates</t>
  </si>
  <si>
    <t>Extra Variable</t>
  </si>
  <si>
    <t>Individual Captures</t>
  </si>
  <si>
    <t>Categorical Comparisons</t>
  </si>
  <si>
    <t>Variable</t>
  </si>
  <si>
    <t>Power Draw</t>
  </si>
  <si>
    <t>GPU0 Graphics Clock</t>
  </si>
  <si>
    <t>Perf/Watt</t>
  </si>
  <si>
    <t>CPU Package Temp(C)</t>
  </si>
  <si>
    <t>CPU Package Power(W)</t>
  </si>
  <si>
    <t>CPU TDP (W)</t>
  </si>
  <si>
    <t>CPU Temperature</t>
  </si>
  <si>
    <t>CPU Power</t>
  </si>
  <si>
    <t>CPU TDP</t>
  </si>
  <si>
    <t>Header</t>
  </si>
  <si>
    <t>Column</t>
  </si>
  <si>
    <t>Offset</t>
  </si>
  <si>
    <t>Reported</t>
  </si>
  <si>
    <t>User-Defined</t>
  </si>
  <si>
    <t>NVIDIA GPU</t>
  </si>
  <si>
    <t>Metadata Parity</t>
  </si>
  <si>
    <t xml:space="preserve">[Application] ([Runtime]) at [Resolution] w/ [GPU] | </t>
  </si>
  <si>
    <t>AllowsTearing</t>
  </si>
  <si>
    <t>ProcessID</t>
  </si>
  <si>
    <t>SwapChainAddress</t>
  </si>
  <si>
    <t>SyncInterval</t>
  </si>
  <si>
    <t>PresentFlags</t>
  </si>
  <si>
    <t>PresentMode</t>
  </si>
  <si>
    <t>Dropped</t>
  </si>
  <si>
    <t>Tearing Possible</t>
  </si>
  <si>
    <t>Process ID</t>
  </si>
  <si>
    <t>Swap Chain ID</t>
  </si>
  <si>
    <t>Sync Interval</t>
  </si>
  <si>
    <t>Dropped Frames</t>
  </si>
  <si>
    <t>Capture Health</t>
  </si>
  <si>
    <t>Performance Metrics</t>
  </si>
  <si>
    <t>Bar Graphs</t>
  </si>
  <si>
    <t>Line Graphs</t>
  </si>
  <si>
    <t>CPU Temp (°C)</t>
  </si>
  <si>
    <t>CPU Power (W)</t>
  </si>
  <si>
    <t>CPU Clock (MHz)</t>
  </si>
  <si>
    <t>GPU0 Clock (MHz)</t>
  </si>
  <si>
    <t>GPU0 Temp (°C)</t>
  </si>
  <si>
    <t>Render Queue (frames)</t>
  </si>
  <si>
    <t>Frame Rate</t>
  </si>
  <si>
    <t>Graphics Power (W)</t>
  </si>
  <si>
    <t>Allows Tearing</t>
  </si>
  <si>
    <t>Swap Chain Address</t>
  </si>
  <si>
    <t>Present Flags</t>
  </si>
  <si>
    <t>PresentMode (Uniformity)</t>
  </si>
  <si>
    <t>PresentMode (Type)</t>
  </si>
  <si>
    <t>Capture Health Violations</t>
  </si>
  <si>
    <t>Reported Resolution (Type)</t>
  </si>
  <si>
    <t>Reported Resolution (Uniformity)</t>
  </si>
  <si>
    <t>Reported Runtime (Type)</t>
  </si>
  <si>
    <t>Reported Runtime (Uniformity)</t>
  </si>
  <si>
    <t>Average</t>
  </si>
  <si>
    <t>Present Mode</t>
  </si>
  <si>
    <t>Frame Rate (fps)</t>
  </si>
  <si>
    <t>Selected Table Formula</t>
  </si>
  <si>
    <t>Minimum</t>
  </si>
  <si>
    <t>Maximum</t>
  </si>
  <si>
    <t>95th Percentile</t>
  </si>
  <si>
    <t>99th Percentile</t>
  </si>
  <si>
    <t>90th Percentile</t>
  </si>
  <si>
    <t>Run Summary</t>
  </si>
  <si>
    <t>Log Folder Path</t>
  </si>
  <si>
    <t>Perf/W GPUOnly(F/J) (API)</t>
  </si>
  <si>
    <t>GPUOnlyPwr(W) (API)</t>
  </si>
  <si>
    <t>AMDPwr(W) (API)</t>
  </si>
  <si>
    <t>Perf/W Total(F/J) (API)</t>
  </si>
  <si>
    <t>NV Pwr(W) (API)</t>
  </si>
  <si>
    <r>
      <rPr>
        <b/>
        <sz val="10"/>
        <color theme="5" tint="-0.499984740745262"/>
        <rFont val="Calibri"/>
        <family val="2"/>
        <scheme val="minor"/>
      </rPr>
      <t>NOTE:</t>
    </r>
    <r>
      <rPr>
        <sz val="10"/>
        <color theme="5" tint="-0.499984740745262"/>
        <rFont val="Calibri"/>
        <family val="2"/>
        <scheme val="minor"/>
      </rPr>
      <t xml:space="preserve"> The AMD API currently reports a value that appears to be in-between chip power and board power for AMD graphics cards. It is not currently possible to accurately compare AMD GPU power consumption to NVIDIA GPU power consumption using FrameView.</t>
    </r>
  </si>
  <si>
    <t>PCAT vs API Power (W)</t>
  </si>
  <si>
    <t>PCAT vs API</t>
  </si>
  <si>
    <t>PCAT</t>
  </si>
  <si>
    <t>PCAT Total Power</t>
  </si>
  <si>
    <t>PCAT Perf/Watt</t>
  </si>
  <si>
    <t>MsRenderPresentLatency</t>
  </si>
  <si>
    <t>PCAT Power Total(W)</t>
  </si>
  <si>
    <t>Perf/W Total(F/J) (PCAT)</t>
  </si>
  <si>
    <t>Render Present Latency</t>
  </si>
  <si>
    <t>Render Present Latency (ms)</t>
  </si>
  <si>
    <t>CPU Utilization (%)</t>
  </si>
  <si>
    <t>GPU0 Utilization (%)</t>
  </si>
  <si>
    <t>Perf per Watt (F/J)</t>
  </si>
  <si>
    <t>[GPU]</t>
  </si>
  <si>
    <t>1st Percentile</t>
  </si>
  <si>
    <t>10th Percentile</t>
  </si>
  <si>
    <t>5th Percentile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</si>
</sst>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6" formatCode="&quot;$&quot;#,##0_);[Red]\(&quot;$&quot;#,##0\)"/>
    <numFmt numFmtId="164" formatCode="0.0"/>
    <numFmt numFmtId="165" formatCode="0.000"/>
    <numFmt numFmtId="166" formatCode="&quot; &quot;@"/>
    <numFmt numFmtId="167" formatCode="0.0&quot;%&quot;"/>
    <numFmt numFmtId="168" formatCode="0.000%"/>
    <numFmt numFmtId="169" formatCode="[$€-2]\ #,##0;[Red]\-[$€-2]\ #,##0"/>
    <numFmt numFmtId="170" formatCode="#,##0\ [$€-1];[Red]\-#,##0\ [$€-1]"/>
    <numFmt numFmtId="171" formatCode="&quot;Formula Option #&quot;0"/>
    <numFmt numFmtId="172" formatCode="&quot;+&quot;0.0;&quot;-&quot;0.0;0"/>
  </numFmts>
  <fonts count="28" x14ac:knownFonts="1">
    <font>
      <sz val="11"/>
      <color theme="1"/>
      <name val="Calibri"/>
      <family val="2"/>
      <scheme val="minor"/>
    </font>
    <font>
      <i/>
      <sz val="11"/>
      <color theme="0" tint="-4.9989318521683403E-2"/>
      <name val="Calibri"/>
      <family val="2"/>
      <scheme val="minor"/>
    </font>
    <font>
      <b/>
      <sz val="11"/>
      <color theme="0"/>
      <name val="Calibri"/>
      <family val="2"/>
      <scheme val="minor"/>
    </font>
    <font>
      <sz val="11"/>
      <name val="Calibri"/>
      <family val="2"/>
      <scheme val="minor"/>
    </font>
    <font>
      <sz val="11"/>
      <color rgb="FF76B900"/>
      <name val="Calibri"/>
      <family val="2"/>
      <scheme val="minor"/>
    </font>
    <font>
      <sz val="11"/>
      <color rgb="FFC00000"/>
      <name val="Calibri"/>
      <family val="2"/>
      <scheme val="minor"/>
    </font>
    <font>
      <sz val="8"/>
      <name val="Calibri"/>
      <family val="2"/>
      <scheme val="minor"/>
    </font>
    <font>
      <sz val="10"/>
      <name val="Consolas"/>
      <family val="3"/>
    </font>
    <font>
      <sz val="10"/>
      <name val="Calibri"/>
      <family val="2"/>
      <scheme val="minor"/>
    </font>
    <font>
      <b/>
      <i/>
      <sz val="11"/>
      <color theme="0"/>
      <name val="Calibri"/>
      <family val="2"/>
      <scheme val="minor"/>
    </font>
    <font>
      <b/>
      <sz val="10"/>
      <name val="Calibri"/>
      <family val="2"/>
      <scheme val="minor"/>
    </font>
    <font>
      <sz val="11"/>
      <color theme="1"/>
      <name val="Calibri"/>
      <family val="2"/>
      <scheme val="minor"/>
    </font>
    <font>
      <b/>
      <i/>
      <sz val="13"/>
      <color theme="0"/>
      <name val="Calibri"/>
      <family val="2"/>
      <scheme val="minor"/>
    </font>
    <font>
      <b/>
      <sz val="12"/>
      <color rgb="FF000000"/>
      <name val="Calibri"/>
      <family val="2"/>
    </font>
    <font>
      <sz val="11"/>
      <color rgb="FF000000"/>
      <name val="Calibri"/>
      <family val="2"/>
    </font>
    <font>
      <sz val="8"/>
      <color rgb="FF000000"/>
      <name val="Segoe UI"/>
      <family val="2"/>
    </font>
    <font>
      <sz val="8"/>
      <color rgb="FF000000"/>
      <name val="Calibri"/>
      <family val="2"/>
    </font>
    <font>
      <sz val="9"/>
      <color theme="1"/>
      <name val="Calibri"/>
      <family val="2"/>
      <scheme val="minor"/>
    </font>
    <font>
      <b/>
      <sz val="12"/>
      <color rgb="FFFFC000"/>
      <name val="Calibri"/>
      <family val="2"/>
      <scheme val="minor"/>
    </font>
    <font>
      <b/>
      <i/>
      <sz val="10"/>
      <color theme="0" tint="-0.249977111117893"/>
      <name val="Calibri"/>
      <family val="2"/>
      <scheme val="minor"/>
    </font>
    <font>
      <b/>
      <i/>
      <sz val="10"/>
      <color theme="7"/>
      <name val="Calibri"/>
      <family val="2"/>
      <scheme val="minor"/>
    </font>
    <font>
      <b/>
      <i/>
      <sz val="10"/>
      <color rgb="FFBFB4E8"/>
      <name val="Calibri"/>
      <family val="2"/>
      <scheme val="minor"/>
    </font>
    <font>
      <sz val="9"/>
      <color indexed="81"/>
      <name val="Tahoma"/>
      <family val="2"/>
    </font>
    <font>
      <b/>
      <sz val="9"/>
      <color indexed="81"/>
      <name val="Tahoma"/>
      <family val="2"/>
    </font>
    <font>
      <sz val="9"/>
      <color theme="1"/>
      <name val="Consolas"/>
      <family val="3"/>
    </font>
    <font>
      <strike/>
      <u/>
      <sz val="11"/>
      <color theme="1"/>
      <name val="Calibri"/>
      <family val="2"/>
      <scheme val="minor"/>
    </font>
    <font>
      <sz val="10"/>
      <color theme="5" tint="-0.499984740745262"/>
      <name val="Calibri"/>
      <family val="2"/>
      <scheme val="minor"/>
    </font>
    <font>
      <b/>
      <sz val="10"/>
      <color theme="5" tint="-0.499984740745262"/>
      <name val="Calibri"/>
      <family val="2"/>
      <scheme val="minor"/>
    </font>
  </fonts>
  <fills count="11">
    <fill>
      <patternFill patternType="none"/>
    </fill>
    <fill>
      <patternFill patternType="gray125"/>
    </fill>
    <fill>
      <patternFill patternType="solid">
        <fgColor theme="1" tint="0.249977111117893"/>
        <bgColor indexed="64"/>
      </patternFill>
    </fill>
    <fill>
      <patternFill patternType="solid">
        <fgColor theme="1" tint="0.1499984740745262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rgb="FF9966FF"/>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theme="0" tint="-0.34998626667073579"/>
        <bgColor indexed="64"/>
      </patternFill>
    </fill>
  </fills>
  <borders count="26">
    <border>
      <left/>
      <right/>
      <top/>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top style="dashed">
        <color theme="7" tint="-0.24994659260841701"/>
      </top>
      <bottom/>
      <diagonal/>
    </border>
    <border>
      <left/>
      <right style="thin">
        <color indexed="64"/>
      </right>
      <top style="dashed">
        <color theme="7" tint="-0.24994659260841701"/>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ck">
        <color indexed="64"/>
      </top>
      <bottom/>
      <diagonal/>
    </border>
    <border>
      <left/>
      <right/>
      <top style="thick">
        <color indexed="64"/>
      </top>
      <bottom/>
      <diagonal/>
    </border>
    <border>
      <left style="thin">
        <color indexed="64"/>
      </left>
      <right/>
      <top style="thin">
        <color indexed="64"/>
      </top>
      <bottom style="thick">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right style="thin">
        <color indexed="64"/>
      </right>
      <top style="thick">
        <color indexed="64"/>
      </top>
      <bottom/>
      <diagonal/>
    </border>
    <border>
      <left style="thin">
        <color auto="1"/>
      </left>
      <right/>
      <top/>
      <bottom style="thick">
        <color auto="1"/>
      </bottom>
      <diagonal/>
    </border>
    <border>
      <left/>
      <right/>
      <top/>
      <bottom style="thick">
        <color auto="1"/>
      </bottom>
      <diagonal/>
    </border>
    <border>
      <left/>
      <right style="thin">
        <color auto="1"/>
      </right>
      <top/>
      <bottom style="thick">
        <color auto="1"/>
      </bottom>
      <diagonal/>
    </border>
  </borders>
  <cellStyleXfs count="2">
    <xf numFmtId="0" fontId="0" fillId="0" borderId="0"/>
    <xf numFmtId="9" fontId="11" fillId="0" borderId="0" applyFont="0" applyFill="0" applyBorder="0" applyAlignment="0" applyProtection="0"/>
  </cellStyleXfs>
  <cellXfs count="137">
    <xf numFmtId="0" fontId="0" fillId="0" borderId="0" xfId="0"/>
    <xf numFmtId="0" fontId="0" fillId="0" borderId="0" xfId="0"/>
    <xf numFmtId="0" fontId="1" fillId="2" borderId="3" xfId="0" applyFont="1" applyFill="1" applyBorder="1" applyAlignment="1">
      <alignment horizontal="left" vertical="center"/>
    </xf>
    <xf numFmtId="0" fontId="1" fillId="2" borderId="4" xfId="0" applyFont="1" applyFill="1" applyBorder="1" applyAlignment="1">
      <alignment horizontal="left" vertical="center"/>
    </xf>
    <xf numFmtId="0" fontId="2" fillId="3" borderId="1" xfId="0" applyFont="1" applyFill="1" applyBorder="1" applyAlignment="1">
      <alignment vertical="center"/>
    </xf>
    <xf numFmtId="0" fontId="2" fillId="3" borderId="3" xfId="0" applyFont="1" applyFill="1" applyBorder="1" applyAlignment="1">
      <alignment horizontal="center" vertical="center"/>
    </xf>
    <xf numFmtId="0" fontId="4" fillId="0" borderId="3" xfId="0" applyFont="1" applyFill="1" applyBorder="1" applyAlignment="1">
      <alignment horizontal="center" vertical="center"/>
    </xf>
    <xf numFmtId="0" fontId="5" fillId="0" borderId="3" xfId="0" applyFont="1" applyFill="1" applyBorder="1" applyAlignment="1">
      <alignment horizontal="center" vertical="center"/>
    </xf>
    <xf numFmtId="0" fontId="0" fillId="5" borderId="3" xfId="0" applyFill="1" applyBorder="1" applyAlignment="1"/>
    <xf numFmtId="0" fontId="0" fillId="6" borderId="3" xfId="0" applyFill="1" applyBorder="1" applyAlignment="1"/>
    <xf numFmtId="0" fontId="0" fillId="7" borderId="3" xfId="0" applyFill="1" applyBorder="1" applyAlignment="1"/>
    <xf numFmtId="0" fontId="0" fillId="3" borderId="3" xfId="0" applyFill="1" applyBorder="1" applyAlignment="1"/>
    <xf numFmtId="166" fontId="10" fillId="9" borderId="3" xfId="0" applyNumberFormat="1" applyFont="1" applyFill="1" applyBorder="1" applyAlignment="1">
      <alignment horizontal="left" vertical="center"/>
    </xf>
    <xf numFmtId="164" fontId="0" fillId="0" borderId="3" xfId="0" applyNumberFormat="1" applyBorder="1" applyAlignment="1">
      <alignment horizontal="center" vertical="center"/>
    </xf>
    <xf numFmtId="165" fontId="0" fillId="0" borderId="3" xfId="0" applyNumberFormat="1" applyBorder="1" applyAlignment="1">
      <alignment horizontal="center" vertical="center"/>
    </xf>
    <xf numFmtId="166" fontId="10" fillId="9" borderId="3" xfId="0" applyNumberFormat="1" applyFont="1" applyFill="1" applyBorder="1" applyAlignment="1">
      <alignment horizontal="left" vertical="center"/>
    </xf>
    <xf numFmtId="0" fontId="3" fillId="7" borderId="3" xfId="0" applyFont="1" applyFill="1" applyBorder="1" applyAlignment="1"/>
    <xf numFmtId="0" fontId="3" fillId="5" borderId="3" xfId="0" applyFont="1" applyFill="1" applyBorder="1" applyAlignment="1"/>
    <xf numFmtId="0" fontId="3" fillId="6" borderId="3" xfId="0" applyFont="1" applyFill="1" applyBorder="1" applyAlignment="1"/>
    <xf numFmtId="0" fontId="1" fillId="2" borderId="1" xfId="0" applyFont="1" applyFill="1" applyBorder="1" applyAlignment="1">
      <alignment horizontal="left" vertical="center"/>
    </xf>
    <xf numFmtId="166" fontId="10" fillId="9" borderId="10" xfId="0" applyNumberFormat="1" applyFont="1" applyFill="1" applyBorder="1" applyAlignment="1">
      <alignment horizontal="left" vertical="center"/>
    </xf>
    <xf numFmtId="167" fontId="0" fillId="0" borderId="10" xfId="1" applyNumberFormat="1" applyFont="1" applyBorder="1" applyAlignment="1">
      <alignment horizontal="center" vertical="center"/>
    </xf>
    <xf numFmtId="164" fontId="0" fillId="0" borderId="3" xfId="1" applyNumberFormat="1" applyFont="1" applyBorder="1" applyAlignment="1">
      <alignment horizontal="center" vertical="center"/>
    </xf>
    <xf numFmtId="0" fontId="3" fillId="0" borderId="3" xfId="0" applyFont="1" applyFill="1" applyBorder="1" applyAlignment="1">
      <alignment horizontal="center" vertical="center"/>
    </xf>
    <xf numFmtId="0" fontId="0" fillId="0" borderId="3" xfId="0" applyNumberFormat="1" applyBorder="1" applyAlignment="1">
      <alignment horizontal="center" vertical="center"/>
    </xf>
    <xf numFmtId="164" fontId="0" fillId="0" borderId="10" xfId="0" applyNumberFormat="1" applyBorder="1" applyAlignment="1">
      <alignment horizontal="center" vertical="center"/>
    </xf>
    <xf numFmtId="1" fontId="3" fillId="0" borderId="3" xfId="0" applyNumberFormat="1" applyFont="1" applyFill="1" applyBorder="1" applyAlignment="1">
      <alignment horizontal="center" vertical="center"/>
    </xf>
    <xf numFmtId="0" fontId="2" fillId="3" borderId="3" xfId="0" applyFont="1" applyFill="1" applyBorder="1" applyAlignment="1">
      <alignment horizontal="left" vertical="center"/>
    </xf>
    <xf numFmtId="0" fontId="2" fillId="3" borderId="3" xfId="0" applyFont="1" applyFill="1" applyBorder="1" applyAlignment="1">
      <alignment vertical="center"/>
    </xf>
    <xf numFmtId="0" fontId="3" fillId="0" borderId="0" xfId="0" applyFont="1" applyFill="1" applyBorder="1" applyAlignment="1">
      <alignment vertical="center"/>
    </xf>
    <xf numFmtId="0" fontId="7" fillId="0" borderId="3" xfId="0" applyFont="1" applyFill="1" applyBorder="1" applyAlignment="1">
      <alignment horizontal="left" vertical="center" shrinkToFit="1"/>
    </xf>
    <xf numFmtId="0" fontId="2" fillId="3" borderId="3" xfId="0" applyFont="1" applyFill="1" applyBorder="1" applyAlignment="1">
      <alignment horizontal="center" vertical="center" shrinkToFit="1"/>
    </xf>
    <xf numFmtId="0" fontId="1" fillId="2" borderId="16" xfId="0" applyFont="1" applyFill="1" applyBorder="1" applyAlignment="1">
      <alignment horizontal="left" vertical="center"/>
    </xf>
    <xf numFmtId="0" fontId="3" fillId="0" borderId="16" xfId="0" applyFont="1" applyFill="1" applyBorder="1" applyAlignment="1">
      <alignment horizontal="center" vertical="center"/>
    </xf>
    <xf numFmtId="0" fontId="1" fillId="2" borderId="10" xfId="0" applyFont="1" applyFill="1" applyBorder="1" applyAlignment="1">
      <alignment horizontal="left" vertical="center"/>
    </xf>
    <xf numFmtId="0" fontId="2" fillId="3" borderId="3" xfId="0" applyFont="1" applyFill="1" applyBorder="1" applyAlignment="1">
      <alignment horizontal="center" vertical="center"/>
    </xf>
    <xf numFmtId="168" fontId="3" fillId="0" borderId="0" xfId="1" applyNumberFormat="1" applyFont="1" applyFill="1" applyBorder="1" applyAlignment="1">
      <alignment vertical="center"/>
    </xf>
    <xf numFmtId="0" fontId="7" fillId="0" borderId="10" xfId="0" applyFont="1" applyFill="1" applyBorder="1" applyAlignment="1">
      <alignment horizontal="left" vertical="center" shrinkToFit="1"/>
    </xf>
    <xf numFmtId="0" fontId="3" fillId="0" borderId="10" xfId="0" applyFont="1" applyFill="1" applyBorder="1" applyAlignment="1">
      <alignment horizontal="center" vertical="center"/>
    </xf>
    <xf numFmtId="166" fontId="10" fillId="9" borderId="3" xfId="0" applyNumberFormat="1" applyFont="1" applyFill="1" applyBorder="1" applyAlignment="1">
      <alignment horizontal="left" vertical="center"/>
    </xf>
    <xf numFmtId="0" fontId="11" fillId="0" borderId="3" xfId="1" applyNumberFormat="1" applyFont="1" applyFill="1" applyBorder="1" applyAlignment="1">
      <alignment horizontal="center" vertical="center"/>
    </xf>
    <xf numFmtId="0" fontId="17" fillId="0" borderId="10" xfId="1" applyNumberFormat="1" applyFont="1" applyFill="1" applyBorder="1" applyAlignment="1">
      <alignment horizontal="center" vertical="center" shrinkToFit="1"/>
    </xf>
    <xf numFmtId="0" fontId="0" fillId="0" borderId="0" xfId="0" applyAlignment="1">
      <alignment shrinkToFit="1"/>
    </xf>
    <xf numFmtId="164" fontId="0" fillId="0" borderId="10" xfId="1" applyNumberFormat="1" applyFont="1" applyBorder="1" applyAlignment="1">
      <alignment horizontal="center" vertical="center"/>
    </xf>
    <xf numFmtId="2" fontId="0" fillId="0" borderId="3" xfId="0" applyNumberFormat="1" applyBorder="1" applyAlignment="1">
      <alignment horizontal="center" vertical="center"/>
    </xf>
    <xf numFmtId="0" fontId="8" fillId="0" borderId="10" xfId="0" applyNumberFormat="1" applyFont="1" applyFill="1" applyBorder="1" applyAlignment="1">
      <alignment horizontal="center" vertical="center" shrinkToFit="1"/>
    </xf>
    <xf numFmtId="0" fontId="8" fillId="0" borderId="3" xfId="0" applyNumberFormat="1" applyFont="1" applyFill="1" applyBorder="1" applyAlignment="1">
      <alignment horizontal="center" vertical="center" shrinkToFit="1"/>
    </xf>
    <xf numFmtId="169" fontId="0" fillId="0" borderId="0" xfId="0" applyNumberFormat="1"/>
    <xf numFmtId="170" fontId="0" fillId="0" borderId="0" xfId="0" applyNumberFormat="1"/>
    <xf numFmtId="166" fontId="10" fillId="9" borderId="3" xfId="0" applyNumberFormat="1" applyFont="1" applyFill="1" applyBorder="1" applyAlignment="1">
      <alignment horizontal="left" vertical="center"/>
    </xf>
    <xf numFmtId="0" fontId="3" fillId="0" borderId="3" xfId="0" applyFont="1" applyFill="1" applyBorder="1" applyAlignment="1">
      <alignment horizontal="center" vertical="center"/>
    </xf>
    <xf numFmtId="6" fontId="0" fillId="0" borderId="0" xfId="0" applyNumberFormat="1"/>
    <xf numFmtId="0" fontId="6" fillId="0" borderId="0" xfId="0" applyFont="1" applyFill="1" applyBorder="1" applyAlignment="1">
      <alignment horizontal="left" vertical="center" wrapText="1"/>
    </xf>
    <xf numFmtId="0" fontId="3" fillId="0" borderId="3" xfId="0" applyFont="1" applyFill="1" applyBorder="1" applyAlignment="1">
      <alignment horizontal="left" vertical="center"/>
    </xf>
    <xf numFmtId="171" fontId="1" fillId="2" borderId="3" xfId="0" applyNumberFormat="1" applyFont="1" applyFill="1" applyBorder="1" applyAlignment="1">
      <alignment horizontal="left" vertical="center"/>
    </xf>
    <xf numFmtId="0" fontId="25" fillId="0" borderId="0" xfId="0" applyFont="1"/>
    <xf numFmtId="166" fontId="12" fillId="2" borderId="23" xfId="0" applyNumberFormat="1" applyFont="1" applyFill="1" applyBorder="1" applyAlignment="1">
      <alignment vertical="center"/>
    </xf>
    <xf numFmtId="0" fontId="2" fillId="3" borderId="3" xfId="0" applyFont="1" applyFill="1" applyBorder="1" applyAlignment="1">
      <alignment horizontal="center" vertical="center"/>
    </xf>
    <xf numFmtId="0" fontId="3" fillId="0" borderId="3" xfId="0" applyFont="1" applyFill="1" applyBorder="1" applyAlignment="1">
      <alignment vertical="center"/>
    </xf>
    <xf numFmtId="166" fontId="10" fillId="9" borderId="3" xfId="0" applyNumberFormat="1" applyFont="1" applyFill="1" applyBorder="1" applyAlignment="1">
      <alignment horizontal="left" vertical="center"/>
    </xf>
    <xf numFmtId="172" fontId="0" fillId="0" borderId="3" xfId="0" applyNumberFormat="1" applyBorder="1" applyAlignment="1">
      <alignment horizontal="center" vertical="center"/>
    </xf>
    <xf numFmtId="1" fontId="3" fillId="0" borderId="3" xfId="0" applyNumberFormat="1" applyFont="1" applyFill="1" applyBorder="1" applyAlignment="1">
      <alignment horizontal="center" vertical="center"/>
    </xf>
    <xf numFmtId="0" fontId="3" fillId="0" borderId="3" xfId="0" applyFont="1" applyFill="1" applyBorder="1" applyAlignment="1">
      <alignment horizontal="center" vertical="center"/>
    </xf>
    <xf numFmtId="0" fontId="3" fillId="0" borderId="3" xfId="0" applyFont="1" applyFill="1" applyBorder="1" applyAlignment="1">
      <alignment horizontal="left" vertical="center" shrinkToFit="1"/>
    </xf>
    <xf numFmtId="0" fontId="7" fillId="0" borderId="3" xfId="0" applyFont="1" applyFill="1" applyBorder="1" applyAlignment="1">
      <alignment horizontal="left" vertical="center" shrinkToFit="1"/>
    </xf>
    <xf numFmtId="1" fontId="3" fillId="0" borderId="10" xfId="0" applyNumberFormat="1" applyFont="1" applyFill="1" applyBorder="1" applyAlignment="1">
      <alignment horizontal="center" vertical="center"/>
    </xf>
    <xf numFmtId="0" fontId="0" fillId="0" borderId="0" xfId="0" applyFill="1"/>
    <xf numFmtId="0" fontId="3" fillId="0" borderId="3" xfId="0" applyFont="1" applyFill="1" applyBorder="1" applyAlignment="1">
      <alignment horizontal="left" vertical="center"/>
    </xf>
    <xf numFmtId="166" fontId="12" fillId="2" borderId="1" xfId="0" applyNumberFormat="1" applyFont="1" applyFill="1" applyBorder="1" applyAlignment="1">
      <alignment horizontal="left" vertical="center"/>
    </xf>
    <xf numFmtId="166" fontId="12" fillId="2" borderId="23" xfId="0" applyNumberFormat="1" applyFont="1" applyFill="1" applyBorder="1" applyAlignment="1">
      <alignment horizontal="left" vertical="center"/>
    </xf>
    <xf numFmtId="0" fontId="18" fillId="2" borderId="2" xfId="0" applyNumberFormat="1" applyFont="1" applyFill="1" applyBorder="1" applyAlignment="1">
      <alignment horizontal="center" vertical="center"/>
    </xf>
    <xf numFmtId="0" fontId="18" fillId="2" borderId="9" xfId="0" applyNumberFormat="1" applyFont="1" applyFill="1" applyBorder="1" applyAlignment="1">
      <alignment horizontal="center" vertical="center"/>
    </xf>
    <xf numFmtId="0" fontId="18" fillId="2" borderId="24" xfId="0" applyNumberFormat="1" applyFont="1" applyFill="1" applyBorder="1" applyAlignment="1">
      <alignment horizontal="center" vertical="center"/>
    </xf>
    <xf numFmtId="0" fontId="18" fillId="2" borderId="25" xfId="0" applyNumberFormat="1" applyFont="1" applyFill="1" applyBorder="1" applyAlignment="1">
      <alignment horizontal="center" vertical="center"/>
    </xf>
    <xf numFmtId="166" fontId="10" fillId="9" borderId="3" xfId="0" applyNumberFormat="1" applyFont="1" applyFill="1" applyBorder="1" applyAlignment="1">
      <alignment horizontal="left" vertical="center"/>
    </xf>
    <xf numFmtId="166" fontId="9" fillId="2" borderId="19" xfId="0" applyNumberFormat="1" applyFont="1" applyFill="1" applyBorder="1" applyAlignment="1">
      <alignment horizontal="left" vertical="center"/>
    </xf>
    <xf numFmtId="166" fontId="9" fillId="2" borderId="20" xfId="0" applyNumberFormat="1" applyFont="1" applyFill="1" applyBorder="1" applyAlignment="1">
      <alignment horizontal="left" vertical="center"/>
    </xf>
    <xf numFmtId="166" fontId="9" fillId="2" borderId="21" xfId="0" applyNumberFormat="1" applyFont="1" applyFill="1" applyBorder="1" applyAlignment="1">
      <alignment horizontal="left" vertical="center"/>
    </xf>
    <xf numFmtId="0" fontId="3" fillId="8" borderId="2" xfId="0" applyFont="1" applyFill="1" applyBorder="1" applyAlignment="1">
      <alignment horizontal="center" vertical="center"/>
    </xf>
    <xf numFmtId="0" fontId="3" fillId="8" borderId="9" xfId="0" applyFont="1" applyFill="1" applyBorder="1" applyAlignment="1">
      <alignment horizontal="center" vertical="center"/>
    </xf>
    <xf numFmtId="0" fontId="21" fillId="2" borderId="9" xfId="0" applyNumberFormat="1" applyFont="1" applyFill="1" applyBorder="1" applyAlignment="1">
      <alignment horizontal="center" vertical="center" wrapText="1" shrinkToFit="1"/>
    </xf>
    <xf numFmtId="0" fontId="21" fillId="2" borderId="15" xfId="0" applyNumberFormat="1" applyFont="1" applyFill="1" applyBorder="1" applyAlignment="1">
      <alignment horizontal="center" vertical="center" wrapText="1" shrinkToFit="1"/>
    </xf>
    <xf numFmtId="0" fontId="21" fillId="2" borderId="25" xfId="0" applyNumberFormat="1" applyFont="1" applyFill="1" applyBorder="1" applyAlignment="1">
      <alignment horizontal="center" vertical="center" wrapText="1" shrinkToFit="1"/>
    </xf>
    <xf numFmtId="0" fontId="20" fillId="2" borderId="2" xfId="0" applyNumberFormat="1" applyFont="1" applyFill="1" applyBorder="1" applyAlignment="1">
      <alignment horizontal="center" vertical="center" wrapText="1" shrinkToFit="1"/>
    </xf>
    <xf numFmtId="0" fontId="20" fillId="2" borderId="0" xfId="0" applyNumberFormat="1" applyFont="1" applyFill="1" applyBorder="1" applyAlignment="1">
      <alignment horizontal="center" vertical="center" wrapText="1" shrinkToFit="1"/>
    </xf>
    <xf numFmtId="0" fontId="20" fillId="2" borderId="24" xfId="0" applyNumberFormat="1" applyFont="1" applyFill="1" applyBorder="1" applyAlignment="1">
      <alignment horizontal="center" vertical="center" wrapText="1" shrinkToFit="1"/>
    </xf>
    <xf numFmtId="0" fontId="19" fillId="2" borderId="2" xfId="0" applyNumberFormat="1" applyFont="1" applyFill="1" applyBorder="1" applyAlignment="1">
      <alignment horizontal="center" vertical="center" wrapText="1" shrinkToFit="1"/>
    </xf>
    <xf numFmtId="0" fontId="19" fillId="2" borderId="0" xfId="0" applyNumberFormat="1" applyFont="1" applyFill="1" applyBorder="1" applyAlignment="1">
      <alignment horizontal="center" vertical="center" wrapText="1" shrinkToFit="1"/>
    </xf>
    <xf numFmtId="0" fontId="19" fillId="2" borderId="24" xfId="0" applyNumberFormat="1" applyFont="1" applyFill="1" applyBorder="1" applyAlignment="1">
      <alignment horizontal="center" vertical="center" wrapText="1" shrinkToFit="1"/>
    </xf>
    <xf numFmtId="166" fontId="12" fillId="2" borderId="14" xfId="0" applyNumberFormat="1" applyFont="1" applyFill="1" applyBorder="1" applyAlignment="1">
      <alignment horizontal="left" vertical="center"/>
    </xf>
    <xf numFmtId="166" fontId="9" fillId="2" borderId="1" xfId="0" applyNumberFormat="1" applyFont="1" applyFill="1" applyBorder="1" applyAlignment="1">
      <alignment horizontal="left" vertical="center"/>
    </xf>
    <xf numFmtId="166" fontId="9" fillId="2" borderId="2" xfId="0" applyNumberFormat="1" applyFont="1" applyFill="1" applyBorder="1" applyAlignment="1">
      <alignment horizontal="left" vertical="center"/>
    </xf>
    <xf numFmtId="166" fontId="9" fillId="2" borderId="9" xfId="0" applyNumberFormat="1" applyFont="1" applyFill="1" applyBorder="1" applyAlignment="1">
      <alignment horizontal="left" vertical="center"/>
    </xf>
    <xf numFmtId="0" fontId="26" fillId="4" borderId="12" xfId="0" applyFont="1" applyFill="1" applyBorder="1" applyAlignment="1">
      <alignment horizontal="center" vertical="center" wrapText="1"/>
    </xf>
    <xf numFmtId="0" fontId="26" fillId="4" borderId="13" xfId="0" applyFont="1" applyFill="1" applyBorder="1" applyAlignment="1">
      <alignment horizontal="center" vertical="center" wrapText="1"/>
    </xf>
    <xf numFmtId="0" fontId="26" fillId="4" borderId="0" xfId="0" applyFont="1" applyFill="1" applyBorder="1" applyAlignment="1">
      <alignment horizontal="center" vertical="center" wrapText="1"/>
    </xf>
    <xf numFmtId="0" fontId="26" fillId="4" borderId="15" xfId="0" applyFont="1" applyFill="1" applyBorder="1" applyAlignment="1">
      <alignment horizontal="center" vertical="center" wrapText="1"/>
    </xf>
    <xf numFmtId="0" fontId="26" fillId="4" borderId="8" xfId="0" applyFont="1" applyFill="1" applyBorder="1" applyAlignment="1">
      <alignment horizontal="center" vertical="center" wrapText="1"/>
    </xf>
    <xf numFmtId="0" fontId="26" fillId="4" borderId="11" xfId="0" applyFont="1" applyFill="1" applyBorder="1" applyAlignment="1">
      <alignment horizontal="center" vertical="center" wrapText="1"/>
    </xf>
    <xf numFmtId="0" fontId="0" fillId="10" borderId="17" xfId="0" applyFill="1" applyBorder="1" applyAlignment="1">
      <alignment horizontal="center"/>
    </xf>
    <xf numFmtId="0" fontId="0" fillId="10" borderId="18" xfId="0" applyFill="1" applyBorder="1" applyAlignment="1">
      <alignment horizontal="center"/>
    </xf>
    <xf numFmtId="0" fontId="0" fillId="10" borderId="22" xfId="0" applyFill="1" applyBorder="1" applyAlignment="1">
      <alignment horizontal="center"/>
    </xf>
    <xf numFmtId="0" fontId="0" fillId="10" borderId="14" xfId="0" applyFill="1" applyBorder="1" applyAlignment="1">
      <alignment horizontal="center"/>
    </xf>
    <xf numFmtId="0" fontId="0" fillId="10" borderId="0" xfId="0" applyFill="1" applyBorder="1" applyAlignment="1">
      <alignment horizontal="center"/>
    </xf>
    <xf numFmtId="0" fontId="0" fillId="10" borderId="15" xfId="0" applyFill="1" applyBorder="1" applyAlignment="1">
      <alignment horizontal="center"/>
    </xf>
    <xf numFmtId="0" fontId="0" fillId="10" borderId="7" xfId="0" applyFill="1" applyBorder="1" applyAlignment="1">
      <alignment horizontal="center"/>
    </xf>
    <xf numFmtId="0" fontId="0" fillId="10" borderId="8" xfId="0" applyFill="1" applyBorder="1" applyAlignment="1">
      <alignment horizontal="center"/>
    </xf>
    <xf numFmtId="0" fontId="0" fillId="10" borderId="11" xfId="0" applyFill="1" applyBorder="1" applyAlignment="1">
      <alignment horizontal="center"/>
    </xf>
    <xf numFmtId="166" fontId="12" fillId="2" borderId="19" xfId="0" applyNumberFormat="1" applyFont="1" applyFill="1" applyBorder="1" applyAlignment="1">
      <alignment vertical="center"/>
    </xf>
    <xf numFmtId="166" fontId="12" fillId="2" borderId="20" xfId="0" applyNumberFormat="1" applyFont="1" applyFill="1" applyBorder="1" applyAlignment="1">
      <alignment vertical="center"/>
    </xf>
    <xf numFmtId="166" fontId="12" fillId="2" borderId="21" xfId="0" applyNumberFormat="1" applyFont="1" applyFill="1" applyBorder="1" applyAlignment="1">
      <alignment vertical="center"/>
    </xf>
    <xf numFmtId="0" fontId="12" fillId="2" borderId="19" xfId="0" applyNumberFormat="1" applyFont="1" applyFill="1" applyBorder="1" applyAlignment="1">
      <alignment horizontal="left" vertical="center"/>
    </xf>
    <xf numFmtId="0" fontId="12" fillId="2" borderId="20" xfId="0" applyNumberFormat="1" applyFont="1" applyFill="1" applyBorder="1" applyAlignment="1">
      <alignment horizontal="left" vertical="center"/>
    </xf>
    <xf numFmtId="0" fontId="12" fillId="2" borderId="21" xfId="0" applyNumberFormat="1" applyFont="1" applyFill="1" applyBorder="1" applyAlignment="1">
      <alignment horizontal="left" vertical="center"/>
    </xf>
    <xf numFmtId="164" fontId="24" fillId="0" borderId="3" xfId="0" applyNumberFormat="1" applyFont="1" applyBorder="1" applyAlignment="1">
      <alignment horizontal="left" vertical="center" shrinkToFit="1"/>
    </xf>
    <xf numFmtId="0" fontId="2" fillId="3" borderId="3" xfId="0" applyFont="1" applyFill="1" applyBorder="1" applyAlignment="1">
      <alignment horizontal="center" vertical="center"/>
    </xf>
    <xf numFmtId="1" fontId="3" fillId="0" borderId="3" xfId="0" applyNumberFormat="1" applyFont="1" applyFill="1" applyBorder="1" applyAlignment="1">
      <alignment horizontal="center" vertical="center"/>
    </xf>
    <xf numFmtId="0" fontId="3" fillId="0" borderId="3" xfId="0" applyFont="1" applyFill="1" applyBorder="1" applyAlignment="1">
      <alignment horizontal="center" vertical="center"/>
    </xf>
    <xf numFmtId="0" fontId="3" fillId="0" borderId="3" xfId="0" applyFont="1" applyFill="1" applyBorder="1" applyAlignment="1">
      <alignment horizontal="left" vertical="center" shrinkToFit="1"/>
    </xf>
    <xf numFmtId="0" fontId="2" fillId="3" borderId="3" xfId="0" applyFont="1" applyFill="1" applyBorder="1" applyAlignment="1">
      <alignment horizontal="left" vertical="center"/>
    </xf>
    <xf numFmtId="0" fontId="3" fillId="0" borderId="3" xfId="0" applyFont="1" applyFill="1" applyBorder="1" applyAlignment="1">
      <alignment vertical="center" shrinkToFit="1"/>
    </xf>
    <xf numFmtId="0" fontId="3" fillId="0" borderId="4" xfId="0" applyFont="1" applyFill="1" applyBorder="1" applyAlignment="1">
      <alignment vertical="center" shrinkToFit="1"/>
    </xf>
    <xf numFmtId="0" fontId="3" fillId="0" borderId="6" xfId="0" applyFont="1" applyFill="1" applyBorder="1" applyAlignment="1">
      <alignment vertical="center" shrinkToFit="1"/>
    </xf>
    <xf numFmtId="0" fontId="3" fillId="0" borderId="5" xfId="0" applyFont="1" applyFill="1" applyBorder="1" applyAlignment="1">
      <alignment vertical="center" shrinkToFit="1"/>
    </xf>
    <xf numFmtId="0" fontId="7" fillId="0" borderId="3" xfId="0" applyFont="1" applyFill="1" applyBorder="1" applyAlignment="1">
      <alignment horizontal="left" vertical="center" shrinkToFit="1"/>
    </xf>
    <xf numFmtId="0" fontId="3" fillId="0" borderId="3" xfId="0" applyFont="1" applyFill="1" applyBorder="1" applyAlignment="1">
      <alignment horizontal="left" vertical="center"/>
    </xf>
    <xf numFmtId="0" fontId="2" fillId="3" borderId="1" xfId="0" applyFont="1" applyFill="1" applyBorder="1" applyAlignment="1">
      <alignment horizontal="left" vertical="center"/>
    </xf>
    <xf numFmtId="0" fontId="2" fillId="3" borderId="2" xfId="0" applyFont="1" applyFill="1" applyBorder="1" applyAlignment="1">
      <alignment horizontal="left" vertical="center"/>
    </xf>
    <xf numFmtId="1" fontId="3" fillId="0" borderId="16" xfId="0" applyNumberFormat="1" applyFont="1" applyFill="1" applyBorder="1" applyAlignment="1">
      <alignment horizontal="center" vertical="center"/>
    </xf>
    <xf numFmtId="1" fontId="3" fillId="0" borderId="10" xfId="0" applyNumberFormat="1" applyFont="1" applyFill="1" applyBorder="1" applyAlignment="1">
      <alignment horizontal="center" vertical="center"/>
    </xf>
    <xf numFmtId="0" fontId="2" fillId="3" borderId="4" xfId="0" applyFont="1" applyFill="1" applyBorder="1" applyAlignment="1">
      <alignment horizontal="center" vertical="center"/>
    </xf>
    <xf numFmtId="0" fontId="2" fillId="3" borderId="6" xfId="0" applyFont="1" applyFill="1" applyBorder="1" applyAlignment="1">
      <alignment horizontal="center" vertical="center"/>
    </xf>
    <xf numFmtId="0" fontId="2" fillId="3" borderId="5" xfId="0" applyFont="1" applyFill="1" applyBorder="1" applyAlignment="1">
      <alignment horizontal="center" vertical="center"/>
    </xf>
    <xf numFmtId="0" fontId="0" fillId="0" borderId="3" xfId="0" applyNumberFormat="1" applyFont="1" applyBorder="1" applyAlignment="1">
      <alignment vertical="center" shrinkToFit="1"/>
    </xf>
    <xf numFmtId="0" fontId="0" fillId="0" borderId="3" xfId="0" applyNumberFormat="1" applyBorder="1" applyAlignment="1">
      <alignment horizontal="center" vertical="center"/>
    </xf>
    <xf numFmtId="0" fontId="2" fillId="3" borderId="7" xfId="0" applyFont="1" applyFill="1" applyBorder="1" applyAlignment="1">
      <alignment horizontal="center" vertical="center"/>
    </xf>
    <xf numFmtId="0" fontId="2" fillId="3" borderId="8" xfId="0" applyFont="1" applyFill="1" applyBorder="1" applyAlignment="1">
      <alignment horizontal="center" vertical="center"/>
    </xf>
  </cellXfs>
  <cellStyles count="2">
    <cellStyle name="Normal" xfId="0" builtinId="0"/>
    <cellStyle name="Percent" xfId="1" builtinId="5"/>
  </cellStyles>
  <dxfs count="6">
    <dxf>
      <font>
        <color theme="5" tint="0.79998168889431442"/>
      </font>
      <fill>
        <patternFill>
          <bgColor rgb="FF990000"/>
        </patternFill>
      </fill>
    </dxf>
    <dxf>
      <font>
        <b/>
        <i val="0"/>
        <color rgb="FF603000"/>
      </font>
      <fill>
        <patternFill>
          <bgColor theme="7" tint="0.59996337778862885"/>
        </patternFill>
      </fill>
    </dxf>
    <dxf>
      <fill>
        <patternFill>
          <bgColor theme="7" tint="0.59996337778862885"/>
        </patternFill>
      </fill>
    </dxf>
    <dxf>
      <font>
        <b/>
        <i val="0"/>
        <color theme="5" tint="0.79998168889431442"/>
      </font>
      <fill>
        <patternFill>
          <bgColor rgb="FF800000"/>
        </patternFill>
      </fill>
    </dxf>
    <dxf>
      <font>
        <b/>
        <i val="0"/>
        <color rgb="FF603000"/>
      </font>
      <fill>
        <patternFill>
          <bgColor theme="7" tint="0.59996337778862885"/>
        </patternFill>
      </fill>
    </dxf>
    <dxf>
      <font>
        <b/>
        <i/>
      </font>
      <fill>
        <patternFill>
          <bgColor theme="5" tint="0.79998168889431442"/>
        </patternFill>
      </fill>
    </dxf>
  </dxfs>
  <tableStyles count="0" defaultTableStyle="TableStyleMedium2" defaultPivotStyle="PivotStyleLight16"/>
  <colors>
    <mruColors>
      <color rgb="FF993300"/>
      <color rgb="FF76B900"/>
      <color rgb="FF9966FF"/>
      <color rgb="FF603000"/>
      <color rgb="FF800000"/>
      <color rgb="FF990000"/>
      <color rgb="FFCC66FF"/>
      <color rgb="FFBFB4E8"/>
      <color rgb="FF804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Backend!$B$13</c:f>
          <c:strCache>
            <c:ptCount val="1"/>
            <c:pt idx="0">
              <c:v>Average Frame Rate (fps)</c:v>
            </c:pt>
          </c:strCache>
        </c:strRef>
      </c:tx>
      <c:layout/>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dPt>
            <c:idx val="0"/>
            <c:invertIfNegative val="0"/>
            <c:bubble3D val="0"/>
            <c:spPr>
              <a:solidFill>
                <a:schemeClr val="tx1">
                  <a:lumMod val="50000"/>
                  <a:lumOff val="50000"/>
                  <a:alpha val="67000"/>
                </a:schemeClr>
              </a:solidFill>
              <a:ln>
                <a:solidFill>
                  <a:schemeClr val="tx1">
                    <a:lumMod val="75000"/>
                    <a:lumOff val="25000"/>
                  </a:schemeClr>
                </a:solidFill>
              </a:ln>
              <a:effectLst/>
            </c:spPr>
            <c:extLst>
              <c:ext xmlns:c16="http://schemas.microsoft.com/office/drawing/2014/chart" uri="{C3380CC4-5D6E-409C-BE32-E72D297353CC}">
                <c16:uniqueId val="{00000005-114A-416D-BC0D-DA9FB05585E2}"/>
              </c:ext>
            </c:extLst>
          </c:dPt>
          <c:dPt>
            <c:idx val="1"/>
            <c:invertIfNegative val="0"/>
            <c:bubble3D val="0"/>
            <c:spPr>
              <a:solidFill>
                <a:srgbClr val="FFC000">
                  <a:alpha val="67000"/>
                </a:srgbClr>
              </a:solidFill>
              <a:ln>
                <a:solidFill>
                  <a:schemeClr val="tx1">
                    <a:lumMod val="75000"/>
                    <a:lumOff val="25000"/>
                  </a:schemeClr>
                </a:solidFill>
              </a:ln>
              <a:effectLst/>
            </c:spPr>
            <c:extLst>
              <c:ext xmlns:c16="http://schemas.microsoft.com/office/drawing/2014/chart" uri="{C3380CC4-5D6E-409C-BE32-E72D297353CC}">
                <c16:uniqueId val="{00000009-114A-416D-BC0D-DA9FB05585E2}"/>
              </c:ext>
            </c:extLst>
          </c:dPt>
          <c:dPt>
            <c:idx val="2"/>
            <c:invertIfNegative val="0"/>
            <c:bubble3D val="0"/>
            <c:spPr>
              <a:solidFill>
                <a:srgbClr val="9966FF">
                  <a:alpha val="67000"/>
                </a:srgbClr>
              </a:solidFill>
              <a:ln>
                <a:solidFill>
                  <a:schemeClr val="tx1">
                    <a:lumMod val="75000"/>
                    <a:lumOff val="25000"/>
                  </a:schemeClr>
                </a:solidFill>
              </a:ln>
              <a:effectLst/>
            </c:spPr>
            <c:extLst>
              <c:ext xmlns:c16="http://schemas.microsoft.com/office/drawing/2014/chart" uri="{C3380CC4-5D6E-409C-BE32-E72D297353CC}">
                <c16:uniqueId val="{0000000E-114A-416D-BC0D-DA9FB05585E2}"/>
              </c:ext>
            </c:extLst>
          </c:dPt>
          <c:dLbls>
            <c:spPr>
              <a:solidFill>
                <a:schemeClr val="bg1"/>
              </a:solidFill>
              <a:ln>
                <a:solidFill>
                  <a:schemeClr val="bg1">
                    <a:lumMod val="50000"/>
                  </a:schemeClr>
                </a:solid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([0]!Capture1_Variable,[0]!Capture2_Variable,[0]!Capture3_Variable)</c:f>
            </c:strRef>
          </c:cat>
          <c:val>
            <c:numRef>
              <c:f>Results!$H$6:$J$6</c:f>
              <c:numCache>
                <c:formatCode>0.0</c:formatCode>
                <c:ptCount val="3"/>
                <c:pt idx="0">
                  <c:v>0</c:v>
                </c:pt>
                <c:pt idx="1">
                  <c:v>0</c:v>
                </c:pt>
                <c:pt idx="2">
                  <c:v>0</c:v>
                </c:pt>
              </c:numCache>
            </c:numRef>
          </c:val>
          <c:extLst>
            <c:ext xmlns:c16="http://schemas.microsoft.com/office/drawing/2014/chart" uri="{C3380CC4-5D6E-409C-BE32-E72D297353CC}">
              <c16:uniqueId val="{00000000-114A-416D-BC0D-DA9FB05585E2}"/>
            </c:ext>
          </c:extLst>
        </c:ser>
        <c:dLbls>
          <c:showLegendKey val="0"/>
          <c:showVal val="0"/>
          <c:showCatName val="0"/>
          <c:showSerName val="0"/>
          <c:showPercent val="0"/>
          <c:showBubbleSize val="0"/>
        </c:dLbls>
        <c:gapWidth val="66"/>
        <c:axId val="866182496"/>
        <c:axId val="866182824"/>
      </c:barChart>
      <c:catAx>
        <c:axId val="866182496"/>
        <c:scaling>
          <c:orientation val="minMax"/>
        </c:scaling>
        <c:delete val="0"/>
        <c:axPos val="b"/>
        <c:numFmt formatCode="General" sourceLinked="1"/>
        <c:majorTickMark val="none"/>
        <c:minorTickMark val="none"/>
        <c:tickLblPos val="nextTo"/>
        <c:spPr>
          <a:noFill/>
          <a:ln w="9525" cap="flat" cmpd="sng" algn="ctr">
            <a:solidFill>
              <a:schemeClr val="tx1">
                <a:lumMod val="75000"/>
                <a:lumOff val="2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6182824"/>
        <c:crosses val="autoZero"/>
        <c:auto val="1"/>
        <c:lblAlgn val="ctr"/>
        <c:lblOffset val="100"/>
        <c:noMultiLvlLbl val="0"/>
      </c:catAx>
      <c:valAx>
        <c:axId val="86618282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out"/>
        <c:minorTickMark val="none"/>
        <c:tickLblPos val="nextTo"/>
        <c:spPr>
          <a:noFill/>
          <a:ln>
            <a:solidFill>
              <a:schemeClr val="tx1">
                <a:lumMod val="75000"/>
                <a:lumOff val="2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6182496"/>
        <c:crosses val="autoZero"/>
        <c:crossBetween val="between"/>
      </c:valAx>
      <c:spPr>
        <a:solidFill>
          <a:schemeClr val="bg1"/>
        </a:solidFill>
        <a:ln>
          <a:solidFill>
            <a:schemeClr val="tx1">
              <a:lumMod val="75000"/>
              <a:lumOff val="25000"/>
            </a:schemeClr>
          </a:solidFill>
        </a:ln>
        <a:effectLst/>
      </c:spPr>
    </c:plotArea>
    <c:plotVisOnly val="1"/>
    <c:dispBlanksAs val="gap"/>
    <c:showDLblsOverMax val="0"/>
  </c:chart>
  <c:spPr>
    <a:solidFill>
      <a:schemeClr val="bg1">
        <a:lumMod val="95000"/>
      </a:schemeClr>
    </a:solidFill>
    <a:ln w="9525" cap="flat" cmpd="sng" algn="ctr">
      <a:solidFill>
        <a:schemeClr val="tx1">
          <a:lumMod val="75000"/>
          <a:lumOff val="2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Backend!$B$14</c:f>
          <c:strCache>
            <c:ptCount val="1"/>
            <c:pt idx="0">
              <c:v>Average Power Draw (W)</c:v>
            </c:pt>
          </c:strCache>
        </c:strRef>
      </c:tx>
      <c:layout/>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dPt>
            <c:idx val="0"/>
            <c:invertIfNegative val="0"/>
            <c:bubble3D val="0"/>
            <c:spPr>
              <a:solidFill>
                <a:schemeClr val="tx1">
                  <a:lumMod val="50000"/>
                  <a:lumOff val="50000"/>
                  <a:alpha val="67000"/>
                </a:schemeClr>
              </a:solidFill>
              <a:ln>
                <a:solidFill>
                  <a:schemeClr val="tx1">
                    <a:lumMod val="75000"/>
                    <a:lumOff val="25000"/>
                  </a:schemeClr>
                </a:solidFill>
              </a:ln>
              <a:effectLst/>
            </c:spPr>
            <c:extLst>
              <c:ext xmlns:c16="http://schemas.microsoft.com/office/drawing/2014/chart" uri="{C3380CC4-5D6E-409C-BE32-E72D297353CC}">
                <c16:uniqueId val="{00000001-2E4B-4FA4-A46C-3F5C4AF0645F}"/>
              </c:ext>
            </c:extLst>
          </c:dPt>
          <c:dPt>
            <c:idx val="1"/>
            <c:invertIfNegative val="0"/>
            <c:bubble3D val="0"/>
            <c:spPr>
              <a:solidFill>
                <a:srgbClr val="FFC000">
                  <a:alpha val="67000"/>
                </a:srgbClr>
              </a:solidFill>
              <a:ln>
                <a:solidFill>
                  <a:schemeClr val="tx1">
                    <a:lumMod val="75000"/>
                    <a:lumOff val="25000"/>
                  </a:schemeClr>
                </a:solidFill>
              </a:ln>
              <a:effectLst/>
            </c:spPr>
            <c:extLst>
              <c:ext xmlns:c16="http://schemas.microsoft.com/office/drawing/2014/chart" uri="{C3380CC4-5D6E-409C-BE32-E72D297353CC}">
                <c16:uniqueId val="{00000003-2E4B-4FA4-A46C-3F5C4AF0645F}"/>
              </c:ext>
            </c:extLst>
          </c:dPt>
          <c:dPt>
            <c:idx val="2"/>
            <c:invertIfNegative val="0"/>
            <c:bubble3D val="0"/>
            <c:spPr>
              <a:solidFill>
                <a:srgbClr val="9966FF">
                  <a:alpha val="67000"/>
                </a:srgbClr>
              </a:solidFill>
              <a:ln>
                <a:solidFill>
                  <a:schemeClr val="tx1">
                    <a:lumMod val="75000"/>
                    <a:lumOff val="25000"/>
                  </a:schemeClr>
                </a:solidFill>
              </a:ln>
              <a:effectLst/>
            </c:spPr>
            <c:extLst>
              <c:ext xmlns:c16="http://schemas.microsoft.com/office/drawing/2014/chart" uri="{C3380CC4-5D6E-409C-BE32-E72D297353CC}">
                <c16:uniqueId val="{00000005-2E4B-4FA4-A46C-3F5C4AF0645F}"/>
              </c:ext>
            </c:extLst>
          </c:dPt>
          <c:dLbls>
            <c:spPr>
              <a:solidFill>
                <a:schemeClr val="bg1"/>
              </a:solidFill>
              <a:ln>
                <a:solidFill>
                  <a:schemeClr val="bg1">
                    <a:lumMod val="50000"/>
                  </a:schemeClr>
                </a:solid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([0]!Capture1_Variable,[0]!Capture2_Variable,[0]!Capture3_Variable)</c:f>
            </c:strRef>
          </c:cat>
          <c:val>
            <c:numRef>
              <c:f>Results!$H$7:$J$7</c:f>
              <c:numCache>
                <c:formatCode>0.0</c:formatCode>
                <c:ptCount val="3"/>
                <c:pt idx="0">
                  <c:v>0</c:v>
                </c:pt>
                <c:pt idx="1">
                  <c:v>0</c:v>
                </c:pt>
                <c:pt idx="2">
                  <c:v>0</c:v>
                </c:pt>
              </c:numCache>
            </c:numRef>
          </c:val>
          <c:extLst>
            <c:ext xmlns:c16="http://schemas.microsoft.com/office/drawing/2014/chart" uri="{C3380CC4-5D6E-409C-BE32-E72D297353CC}">
              <c16:uniqueId val="{00000006-2E4B-4FA4-A46C-3F5C4AF0645F}"/>
            </c:ext>
          </c:extLst>
        </c:ser>
        <c:dLbls>
          <c:showLegendKey val="0"/>
          <c:showVal val="0"/>
          <c:showCatName val="0"/>
          <c:showSerName val="0"/>
          <c:showPercent val="0"/>
          <c:showBubbleSize val="0"/>
        </c:dLbls>
        <c:gapWidth val="66"/>
        <c:axId val="866182496"/>
        <c:axId val="866182824"/>
      </c:barChart>
      <c:catAx>
        <c:axId val="866182496"/>
        <c:scaling>
          <c:orientation val="minMax"/>
        </c:scaling>
        <c:delete val="0"/>
        <c:axPos val="b"/>
        <c:numFmt formatCode="General" sourceLinked="1"/>
        <c:majorTickMark val="none"/>
        <c:minorTickMark val="none"/>
        <c:tickLblPos val="nextTo"/>
        <c:spPr>
          <a:noFill/>
          <a:ln w="9525" cap="flat" cmpd="sng" algn="ctr">
            <a:solidFill>
              <a:schemeClr val="tx1">
                <a:lumMod val="75000"/>
                <a:lumOff val="2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6182824"/>
        <c:crosses val="autoZero"/>
        <c:auto val="1"/>
        <c:lblAlgn val="ctr"/>
        <c:lblOffset val="100"/>
        <c:noMultiLvlLbl val="0"/>
      </c:catAx>
      <c:valAx>
        <c:axId val="86618282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out"/>
        <c:minorTickMark val="none"/>
        <c:tickLblPos val="nextTo"/>
        <c:spPr>
          <a:noFill/>
          <a:ln>
            <a:solidFill>
              <a:schemeClr val="tx1">
                <a:lumMod val="75000"/>
                <a:lumOff val="2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6182496"/>
        <c:crosses val="autoZero"/>
        <c:crossBetween val="between"/>
      </c:valAx>
      <c:spPr>
        <a:solidFill>
          <a:schemeClr val="bg1"/>
        </a:solidFill>
        <a:ln>
          <a:solidFill>
            <a:schemeClr val="tx1">
              <a:lumMod val="75000"/>
              <a:lumOff val="25000"/>
            </a:schemeClr>
          </a:solidFill>
        </a:ln>
        <a:effectLst/>
      </c:spPr>
    </c:plotArea>
    <c:plotVisOnly val="1"/>
    <c:dispBlanksAs val="gap"/>
    <c:showDLblsOverMax val="0"/>
  </c:chart>
  <c:spPr>
    <a:solidFill>
      <a:schemeClr val="bg1">
        <a:lumMod val="95000"/>
      </a:schemeClr>
    </a:solidFill>
    <a:ln w="9525" cap="flat" cmpd="sng" algn="ctr">
      <a:solidFill>
        <a:schemeClr val="tx1">
          <a:lumMod val="75000"/>
          <a:lumOff val="2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Backend!$B$15</c:f>
          <c:strCache>
            <c:ptCount val="1"/>
            <c:pt idx="0">
              <c:v>Average Perf/Watt</c:v>
            </c:pt>
          </c:strCache>
        </c:strRef>
      </c:tx>
      <c:layout/>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solidFill>
                <a:schemeClr val="tx1">
                  <a:lumMod val="75000"/>
                  <a:lumOff val="25000"/>
                </a:schemeClr>
              </a:solidFill>
            </a:ln>
            <a:effectLst/>
          </c:spPr>
          <c:invertIfNegative val="0"/>
          <c:dPt>
            <c:idx val="0"/>
            <c:invertIfNegative val="0"/>
            <c:bubble3D val="0"/>
            <c:spPr>
              <a:solidFill>
                <a:schemeClr val="tx1">
                  <a:lumMod val="50000"/>
                  <a:lumOff val="50000"/>
                  <a:alpha val="67000"/>
                </a:schemeClr>
              </a:solidFill>
              <a:ln>
                <a:solidFill>
                  <a:schemeClr val="tx1">
                    <a:lumMod val="75000"/>
                    <a:lumOff val="25000"/>
                  </a:schemeClr>
                </a:solidFill>
              </a:ln>
              <a:effectLst/>
            </c:spPr>
            <c:extLst>
              <c:ext xmlns:c16="http://schemas.microsoft.com/office/drawing/2014/chart" uri="{C3380CC4-5D6E-409C-BE32-E72D297353CC}">
                <c16:uniqueId val="{00000001-5EC0-446B-9F76-750582D326F1}"/>
              </c:ext>
            </c:extLst>
          </c:dPt>
          <c:dPt>
            <c:idx val="1"/>
            <c:invertIfNegative val="0"/>
            <c:bubble3D val="0"/>
            <c:spPr>
              <a:solidFill>
                <a:srgbClr val="FFC000">
                  <a:alpha val="67000"/>
                </a:srgbClr>
              </a:solidFill>
              <a:ln>
                <a:solidFill>
                  <a:schemeClr val="tx1">
                    <a:lumMod val="75000"/>
                    <a:lumOff val="25000"/>
                  </a:schemeClr>
                </a:solidFill>
              </a:ln>
              <a:effectLst/>
            </c:spPr>
            <c:extLst>
              <c:ext xmlns:c16="http://schemas.microsoft.com/office/drawing/2014/chart" uri="{C3380CC4-5D6E-409C-BE32-E72D297353CC}">
                <c16:uniqueId val="{00000002-5EC0-446B-9F76-750582D326F1}"/>
              </c:ext>
            </c:extLst>
          </c:dPt>
          <c:dPt>
            <c:idx val="2"/>
            <c:invertIfNegative val="0"/>
            <c:bubble3D val="0"/>
            <c:spPr>
              <a:solidFill>
                <a:srgbClr val="9966FF">
                  <a:alpha val="67000"/>
                </a:srgbClr>
              </a:solidFill>
              <a:ln>
                <a:solidFill>
                  <a:schemeClr val="tx1">
                    <a:lumMod val="75000"/>
                    <a:lumOff val="25000"/>
                  </a:schemeClr>
                </a:solidFill>
              </a:ln>
              <a:effectLst/>
            </c:spPr>
            <c:extLst>
              <c:ext xmlns:c16="http://schemas.microsoft.com/office/drawing/2014/chart" uri="{C3380CC4-5D6E-409C-BE32-E72D297353CC}">
                <c16:uniqueId val="{00000003-5EC0-446B-9F76-750582D326F1}"/>
              </c:ext>
            </c:extLst>
          </c:dPt>
          <c:dLbls>
            <c:spPr>
              <a:solidFill>
                <a:schemeClr val="bg1"/>
              </a:solidFill>
              <a:ln>
                <a:solidFill>
                  <a:schemeClr val="bg1">
                    <a:lumMod val="50000"/>
                  </a:schemeClr>
                </a:solid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([0]!Capture1_Variable,[0]!Capture2_Variable,[0]!Capture3_Variable)</c:f>
            </c:strRef>
          </c:cat>
          <c:val>
            <c:numRef>
              <c:f>Results!$H$8:$J$8</c:f>
              <c:numCache>
                <c:formatCode>0.000</c:formatCode>
                <c:ptCount val="3"/>
                <c:pt idx="0">
                  <c:v>0</c:v>
                </c:pt>
                <c:pt idx="1">
                  <c:v>0</c:v>
                </c:pt>
                <c:pt idx="2">
                  <c:v>0</c:v>
                </c:pt>
              </c:numCache>
            </c:numRef>
          </c:val>
          <c:extLst>
            <c:ext xmlns:c16="http://schemas.microsoft.com/office/drawing/2014/chart" uri="{C3380CC4-5D6E-409C-BE32-E72D297353CC}">
              <c16:uniqueId val="{00000000-5EC0-446B-9F76-750582D326F1}"/>
            </c:ext>
          </c:extLst>
        </c:ser>
        <c:dLbls>
          <c:showLegendKey val="0"/>
          <c:showVal val="0"/>
          <c:showCatName val="0"/>
          <c:showSerName val="0"/>
          <c:showPercent val="0"/>
          <c:showBubbleSize val="0"/>
        </c:dLbls>
        <c:gapWidth val="66"/>
        <c:axId val="866182496"/>
        <c:axId val="866182824"/>
      </c:barChart>
      <c:catAx>
        <c:axId val="866182496"/>
        <c:scaling>
          <c:orientation val="minMax"/>
        </c:scaling>
        <c:delete val="0"/>
        <c:axPos val="b"/>
        <c:numFmt formatCode="General" sourceLinked="1"/>
        <c:majorTickMark val="none"/>
        <c:minorTickMark val="none"/>
        <c:tickLblPos val="nextTo"/>
        <c:spPr>
          <a:noFill/>
          <a:ln w="9525" cap="flat" cmpd="sng" algn="ctr">
            <a:solidFill>
              <a:schemeClr val="tx1">
                <a:lumMod val="75000"/>
                <a:lumOff val="2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6182824"/>
        <c:crosses val="autoZero"/>
        <c:auto val="1"/>
        <c:lblAlgn val="ctr"/>
        <c:lblOffset val="100"/>
        <c:noMultiLvlLbl val="0"/>
      </c:catAx>
      <c:valAx>
        <c:axId val="86618282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0"/>
        <c:majorTickMark val="out"/>
        <c:minorTickMark val="none"/>
        <c:tickLblPos val="nextTo"/>
        <c:spPr>
          <a:noFill/>
          <a:ln>
            <a:solidFill>
              <a:schemeClr val="tx1">
                <a:lumMod val="75000"/>
                <a:lumOff val="2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6182496"/>
        <c:crosses val="autoZero"/>
        <c:crossBetween val="between"/>
      </c:valAx>
      <c:spPr>
        <a:solidFill>
          <a:schemeClr val="bg1"/>
        </a:solidFill>
        <a:ln>
          <a:solidFill>
            <a:schemeClr val="tx1">
              <a:lumMod val="75000"/>
              <a:lumOff val="25000"/>
            </a:schemeClr>
          </a:solidFill>
        </a:ln>
        <a:effectLst/>
      </c:spPr>
    </c:plotArea>
    <c:plotVisOnly val="1"/>
    <c:dispBlanksAs val="gap"/>
    <c:showDLblsOverMax val="0"/>
  </c:chart>
  <c:spPr>
    <a:solidFill>
      <a:schemeClr val="bg1">
        <a:lumMod val="95000"/>
      </a:schemeClr>
    </a:solidFill>
    <a:ln w="9525" cap="flat" cmpd="sng" algn="ctr">
      <a:solidFill>
        <a:schemeClr val="tx1">
          <a:lumMod val="75000"/>
          <a:lumOff val="2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Backend!$B$16</c:f>
          <c:strCache>
            <c:ptCount val="1"/>
            <c:pt idx="0">
              <c:v>Average Render Present Latency (ms)</c:v>
            </c:pt>
          </c:strCache>
        </c:strRef>
      </c:tx>
      <c:layout/>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tx1">
                <a:lumMod val="50000"/>
                <a:lumOff val="50000"/>
                <a:alpha val="67000"/>
              </a:schemeClr>
            </a:solidFill>
            <a:ln>
              <a:solidFill>
                <a:schemeClr val="tx1">
                  <a:lumMod val="75000"/>
                  <a:lumOff val="25000"/>
                </a:schemeClr>
              </a:solidFill>
            </a:ln>
            <a:effectLst/>
          </c:spPr>
          <c:invertIfNegative val="0"/>
          <c:dPt>
            <c:idx val="1"/>
            <c:invertIfNegative val="0"/>
            <c:bubble3D val="0"/>
            <c:spPr>
              <a:solidFill>
                <a:schemeClr val="accent4">
                  <a:alpha val="67000"/>
                </a:schemeClr>
              </a:solidFill>
              <a:ln>
                <a:solidFill>
                  <a:schemeClr val="tx1">
                    <a:lumMod val="75000"/>
                    <a:lumOff val="25000"/>
                  </a:schemeClr>
                </a:solidFill>
              </a:ln>
              <a:effectLst/>
            </c:spPr>
            <c:extLst>
              <c:ext xmlns:c16="http://schemas.microsoft.com/office/drawing/2014/chart" uri="{C3380CC4-5D6E-409C-BE32-E72D297353CC}">
                <c16:uniqueId val="{00000003-34D0-4722-BC8C-D4C2D170D2EC}"/>
              </c:ext>
            </c:extLst>
          </c:dPt>
          <c:dPt>
            <c:idx val="2"/>
            <c:invertIfNegative val="0"/>
            <c:bubble3D val="0"/>
            <c:spPr>
              <a:solidFill>
                <a:srgbClr val="9966FF">
                  <a:alpha val="67000"/>
                </a:srgbClr>
              </a:solidFill>
              <a:ln>
                <a:solidFill>
                  <a:schemeClr val="tx1">
                    <a:lumMod val="75000"/>
                    <a:lumOff val="25000"/>
                  </a:schemeClr>
                </a:solidFill>
              </a:ln>
              <a:effectLst/>
            </c:spPr>
            <c:extLst>
              <c:ext xmlns:c16="http://schemas.microsoft.com/office/drawing/2014/chart" uri="{C3380CC4-5D6E-409C-BE32-E72D297353CC}">
                <c16:uniqueId val="{00000005-34D0-4722-BC8C-D4C2D170D2EC}"/>
              </c:ext>
            </c:extLst>
          </c:dPt>
          <c:dLbls>
            <c:spPr>
              <a:solidFill>
                <a:schemeClr val="bg1"/>
              </a:solidFill>
              <a:ln>
                <a:solidFill>
                  <a:schemeClr val="bg1">
                    <a:lumMod val="50000"/>
                  </a:schemeClr>
                </a:solid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([0]!Capture1_Variable,[0]!Capture2_Variable,[0]!Capture3_Variable)</c:f>
            </c:strRef>
          </c:cat>
          <c:val>
            <c:numRef>
              <c:f>Results!$H$10:$J$10</c:f>
              <c:numCache>
                <c:formatCode>0.0</c:formatCode>
                <c:ptCount val="3"/>
                <c:pt idx="0">
                  <c:v>0</c:v>
                </c:pt>
                <c:pt idx="1">
                  <c:v>0</c:v>
                </c:pt>
                <c:pt idx="2">
                  <c:v>0</c:v>
                </c:pt>
              </c:numCache>
            </c:numRef>
          </c:val>
          <c:extLst>
            <c:ext xmlns:c16="http://schemas.microsoft.com/office/drawing/2014/chart" uri="{C3380CC4-5D6E-409C-BE32-E72D297353CC}">
              <c16:uniqueId val="{00000006-34D0-4722-BC8C-D4C2D170D2EC}"/>
            </c:ext>
          </c:extLst>
        </c:ser>
        <c:dLbls>
          <c:showLegendKey val="0"/>
          <c:showVal val="0"/>
          <c:showCatName val="0"/>
          <c:showSerName val="0"/>
          <c:showPercent val="0"/>
          <c:showBubbleSize val="0"/>
        </c:dLbls>
        <c:gapWidth val="66"/>
        <c:axId val="866182496"/>
        <c:axId val="866182824"/>
      </c:barChart>
      <c:catAx>
        <c:axId val="866182496"/>
        <c:scaling>
          <c:orientation val="minMax"/>
        </c:scaling>
        <c:delete val="0"/>
        <c:axPos val="b"/>
        <c:numFmt formatCode="General" sourceLinked="1"/>
        <c:majorTickMark val="none"/>
        <c:minorTickMark val="none"/>
        <c:tickLblPos val="nextTo"/>
        <c:spPr>
          <a:noFill/>
          <a:ln w="9525" cap="flat" cmpd="sng" algn="ctr">
            <a:solidFill>
              <a:schemeClr val="tx1">
                <a:lumMod val="75000"/>
                <a:lumOff val="2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6182824"/>
        <c:crosses val="autoZero"/>
        <c:auto val="1"/>
        <c:lblAlgn val="ctr"/>
        <c:lblOffset val="100"/>
        <c:noMultiLvlLbl val="0"/>
      </c:catAx>
      <c:valAx>
        <c:axId val="86618282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out"/>
        <c:minorTickMark val="none"/>
        <c:tickLblPos val="nextTo"/>
        <c:spPr>
          <a:noFill/>
          <a:ln>
            <a:solidFill>
              <a:schemeClr val="tx1">
                <a:lumMod val="75000"/>
                <a:lumOff val="2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6182496"/>
        <c:crosses val="autoZero"/>
        <c:crossBetween val="between"/>
      </c:valAx>
      <c:spPr>
        <a:solidFill>
          <a:schemeClr val="bg1"/>
        </a:solidFill>
        <a:ln>
          <a:solidFill>
            <a:schemeClr val="tx1">
              <a:lumMod val="75000"/>
              <a:lumOff val="25000"/>
            </a:schemeClr>
          </a:solidFill>
        </a:ln>
        <a:effectLst/>
      </c:spPr>
    </c:plotArea>
    <c:plotVisOnly val="1"/>
    <c:dispBlanksAs val="gap"/>
    <c:showDLblsOverMax val="0"/>
  </c:chart>
  <c:spPr>
    <a:solidFill>
      <a:schemeClr val="bg1">
        <a:lumMod val="95000"/>
      </a:schemeClr>
    </a:solidFill>
    <a:ln w="9525" cap="flat" cmpd="sng" algn="ctr">
      <a:solidFill>
        <a:schemeClr val="tx1">
          <a:lumMod val="75000"/>
          <a:lumOff val="2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Backend!$B$18</c:f>
          <c:strCache>
            <c:ptCount val="1"/>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FPS</c:v>
          </c:tx>
          <c:spPr>
            <a:ln w="12700" cap="rnd">
              <a:solidFill>
                <a:schemeClr val="tx1">
                  <a:lumMod val="85000"/>
                  <a:lumOff val="15000"/>
                  <a:alpha val="80000"/>
                </a:schemeClr>
              </a:solidFill>
              <a:round/>
            </a:ln>
            <a:effectLst/>
          </c:spPr>
          <c:marker>
            <c:symbol val="none"/>
          </c:marker>
          <c:xVal>
            <c:numRef>
              <c:f>[0]!Capture1_ElapsedTime</c:f>
              <c:numCache>
                <c:formatCode>General</c:formatCode>
                <c:ptCount val="2"/>
                <c:pt idx="0">
                  <c:v>0</c:v>
                </c:pt>
                <c:pt idx="1">
                  <c:v>1</c:v>
                </c:pt>
              </c:numCache>
            </c:numRef>
          </c:xVal>
          <c:yVal>
            <c:numRef>
              <c:f>[0]!Capture1_FPS</c:f>
              <c:numCache>
                <c:formatCode>General</c:formatCode>
                <c:ptCount val="2"/>
                <c:pt idx="0">
                  <c:v>0</c:v>
                </c:pt>
                <c:pt idx="1">
                  <c:v>0</c:v>
                </c:pt>
              </c:numCache>
            </c:numRef>
          </c:yVal>
          <c:smooth val="0"/>
          <c:extLst>
            <c:ext xmlns:c16="http://schemas.microsoft.com/office/drawing/2014/chart" uri="{C3380CC4-5D6E-409C-BE32-E72D297353CC}">
              <c16:uniqueId val="{00000001-CAB9-40F5-B283-9C679CD4745E}"/>
            </c:ext>
          </c:extLst>
        </c:ser>
        <c:dLbls>
          <c:showLegendKey val="0"/>
          <c:showVal val="0"/>
          <c:showCatName val="0"/>
          <c:showSerName val="0"/>
          <c:showPercent val="0"/>
          <c:showBubbleSize val="0"/>
        </c:dLbls>
        <c:axId val="1054865904"/>
        <c:axId val="1054865248"/>
      </c:scatterChart>
      <c:scatterChart>
        <c:scatterStyle val="lineMarker"/>
        <c:varyColors val="0"/>
        <c:ser>
          <c:idx val="1"/>
          <c:order val="1"/>
          <c:tx>
            <c:v>Perf/Watt</c:v>
          </c:tx>
          <c:spPr>
            <a:ln w="12700" cap="rnd">
              <a:solidFill>
                <a:schemeClr val="tx1">
                  <a:lumMod val="50000"/>
                  <a:lumOff val="50000"/>
                  <a:alpha val="67000"/>
                </a:schemeClr>
              </a:solidFill>
              <a:round/>
            </a:ln>
            <a:effectLst/>
          </c:spPr>
          <c:marker>
            <c:symbol val="none"/>
          </c:marker>
          <c:xVal>
            <c:numRef>
              <c:f>[0]!Capture1_ElapsedTime</c:f>
              <c:numCache>
                <c:formatCode>General</c:formatCode>
                <c:ptCount val="2"/>
                <c:pt idx="0">
                  <c:v>0</c:v>
                </c:pt>
                <c:pt idx="1">
                  <c:v>1</c:v>
                </c:pt>
              </c:numCache>
            </c:numRef>
          </c:xVal>
          <c:yVal>
            <c:numRef>
              <c:f>[0]!Capture1_PerfPerWatt</c:f>
              <c:numCache>
                <c:formatCode>General</c:formatCode>
                <c:ptCount val="2"/>
                <c:pt idx="0">
                  <c:v>0</c:v>
                </c:pt>
                <c:pt idx="1">
                  <c:v>0</c:v>
                </c:pt>
              </c:numCache>
            </c:numRef>
          </c:yVal>
          <c:smooth val="0"/>
          <c:extLst>
            <c:ext xmlns:c16="http://schemas.microsoft.com/office/drawing/2014/chart" uri="{C3380CC4-5D6E-409C-BE32-E72D297353CC}">
              <c16:uniqueId val="{00000003-CAB9-40F5-B283-9C679CD4745E}"/>
            </c:ext>
          </c:extLst>
        </c:ser>
        <c:dLbls>
          <c:showLegendKey val="0"/>
          <c:showVal val="0"/>
          <c:showCatName val="0"/>
          <c:showSerName val="0"/>
          <c:showPercent val="0"/>
          <c:showBubbleSize val="0"/>
        </c:dLbls>
        <c:axId val="1054897392"/>
        <c:axId val="1054897064"/>
      </c:scatterChart>
      <c:valAx>
        <c:axId val="10548659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75000"/>
                <a:lumOff val="2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4865248"/>
        <c:crosses val="autoZero"/>
        <c:crossBetween val="midCat"/>
      </c:valAx>
      <c:valAx>
        <c:axId val="105486524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r>
                  <a:rPr lang="en-US" sz="1050" b="1"/>
                  <a:t>Frames per Second (FPS)</a:t>
                </a:r>
              </a:p>
            </c:rich>
          </c:tx>
          <c:layout/>
          <c:overlay val="0"/>
          <c:spPr>
            <a:noFill/>
            <a:ln>
              <a:noFill/>
            </a:ln>
            <a:effectLst/>
          </c:spPr>
          <c:txPr>
            <a:bodyPr rot="-54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solidFill>
              <a:schemeClr val="tx1">
                <a:lumMod val="75000"/>
                <a:lumOff val="2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4865904"/>
        <c:crosses val="autoZero"/>
        <c:crossBetween val="midCat"/>
      </c:valAx>
      <c:valAx>
        <c:axId val="1054897064"/>
        <c:scaling>
          <c:orientation val="minMax"/>
          <c:min val="0"/>
        </c:scaling>
        <c:delete val="0"/>
        <c:axPos val="r"/>
        <c:title>
          <c:tx>
            <c:rich>
              <a:bodyPr rot="5400000" spcFirstLastPara="1" vertOverflow="ellipsis" wrap="square" anchor="ctr" anchorCtr="1"/>
              <a:lstStyle/>
              <a:p>
                <a:pPr>
                  <a:defRPr sz="1050" b="1" i="0" u="none" strike="noStrike" kern="1200" baseline="0">
                    <a:solidFill>
                      <a:schemeClr val="tx1">
                        <a:lumMod val="65000"/>
                        <a:lumOff val="35000"/>
                      </a:schemeClr>
                    </a:solidFill>
                    <a:latin typeface="+mn-lt"/>
                    <a:ea typeface="+mn-ea"/>
                    <a:cs typeface="+mn-cs"/>
                  </a:defRPr>
                </a:pPr>
                <a:r>
                  <a:rPr lang="en-US" sz="1050" b="1"/>
                  <a:t>Perf per Watt (FPS/W)</a:t>
                </a:r>
              </a:p>
            </c:rich>
          </c:tx>
          <c:layout/>
          <c:overlay val="0"/>
          <c:spPr>
            <a:noFill/>
            <a:ln>
              <a:noFill/>
            </a:ln>
            <a:effectLst/>
          </c:spPr>
          <c:txPr>
            <a:bodyPr rot="5400000" spcFirstLastPara="1" vertOverflow="ellipsis"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solidFill>
              <a:schemeClr val="tx1">
                <a:lumMod val="75000"/>
                <a:lumOff val="2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4897392"/>
        <c:crosses val="max"/>
        <c:crossBetween val="midCat"/>
      </c:valAx>
      <c:valAx>
        <c:axId val="1054897392"/>
        <c:scaling>
          <c:orientation val="minMax"/>
        </c:scaling>
        <c:delete val="1"/>
        <c:axPos val="b"/>
        <c:title>
          <c:tx>
            <c:rich>
              <a:bodyPr rot="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r>
                  <a:rPr lang="en-US" sz="1050" b="1"/>
                  <a:t>Time (Seconds)</a:t>
                </a:r>
              </a:p>
            </c:rich>
          </c:tx>
          <c:layout/>
          <c:overlay val="0"/>
          <c:spPr>
            <a:noFill/>
            <a:ln>
              <a:noFill/>
            </a:ln>
            <a:effectLst/>
          </c:spPr>
          <c:txPr>
            <a:bodyPr rot="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crossAx val="1054897064"/>
        <c:crosses val="autoZero"/>
        <c:crossBetween val="midCat"/>
      </c:valAx>
      <c:spPr>
        <a:solidFill>
          <a:schemeClr val="bg1"/>
        </a:solidFill>
        <a:ln>
          <a:solidFill>
            <a:schemeClr val="tx1">
              <a:lumMod val="75000"/>
              <a:lumOff val="25000"/>
            </a:schemeClr>
          </a:solidFill>
        </a:ln>
        <a:effectLst/>
      </c:spPr>
    </c:plotArea>
    <c:legend>
      <c:legendPos val="t"/>
      <c:layout/>
      <c:overlay val="0"/>
      <c:spPr>
        <a:solidFill>
          <a:schemeClr val="bg1"/>
        </a:solidFill>
        <a:ln>
          <a:solidFill>
            <a:schemeClr val="bg1">
              <a:lumMod val="50000"/>
            </a:schemeClr>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lumMod val="95000"/>
      </a:schemeClr>
    </a:solidFill>
    <a:ln w="9525" cap="flat" cmpd="sng" algn="ctr">
      <a:solidFill>
        <a:schemeClr val="tx1">
          <a:lumMod val="75000"/>
          <a:lumOff val="2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Backend!$B$19</c:f>
          <c:strCache>
            <c:ptCount val="1"/>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FPS</c:v>
          </c:tx>
          <c:spPr>
            <a:ln w="12700" cap="rnd">
              <a:solidFill>
                <a:schemeClr val="tx1">
                  <a:lumMod val="85000"/>
                  <a:lumOff val="15000"/>
                  <a:alpha val="80000"/>
                </a:schemeClr>
              </a:solidFill>
              <a:round/>
            </a:ln>
            <a:effectLst/>
          </c:spPr>
          <c:marker>
            <c:symbol val="none"/>
          </c:marker>
          <c:xVal>
            <c:numRef>
              <c:f>[0]!Capture2_ElapsedTime</c:f>
              <c:numCache>
                <c:formatCode>General</c:formatCode>
                <c:ptCount val="2"/>
                <c:pt idx="0">
                  <c:v>0</c:v>
                </c:pt>
                <c:pt idx="1">
                  <c:v>1</c:v>
                </c:pt>
              </c:numCache>
            </c:numRef>
          </c:xVal>
          <c:yVal>
            <c:numRef>
              <c:f>[0]!Capture2_FPS</c:f>
              <c:numCache>
                <c:formatCode>General</c:formatCode>
                <c:ptCount val="2"/>
                <c:pt idx="0">
                  <c:v>0</c:v>
                </c:pt>
                <c:pt idx="1">
                  <c:v>0</c:v>
                </c:pt>
              </c:numCache>
            </c:numRef>
          </c:yVal>
          <c:smooth val="0"/>
          <c:extLst>
            <c:ext xmlns:c16="http://schemas.microsoft.com/office/drawing/2014/chart" uri="{C3380CC4-5D6E-409C-BE32-E72D297353CC}">
              <c16:uniqueId val="{00000000-4C53-44A3-84AE-541F77357471}"/>
            </c:ext>
          </c:extLst>
        </c:ser>
        <c:dLbls>
          <c:showLegendKey val="0"/>
          <c:showVal val="0"/>
          <c:showCatName val="0"/>
          <c:showSerName val="0"/>
          <c:showPercent val="0"/>
          <c:showBubbleSize val="0"/>
        </c:dLbls>
        <c:axId val="1054865904"/>
        <c:axId val="1054865248"/>
      </c:scatterChart>
      <c:scatterChart>
        <c:scatterStyle val="lineMarker"/>
        <c:varyColors val="0"/>
        <c:ser>
          <c:idx val="1"/>
          <c:order val="1"/>
          <c:tx>
            <c:v>Perf/Watt</c:v>
          </c:tx>
          <c:spPr>
            <a:ln w="12700" cap="rnd">
              <a:solidFill>
                <a:srgbClr val="FFC000">
                  <a:alpha val="67000"/>
                </a:srgbClr>
              </a:solidFill>
              <a:round/>
            </a:ln>
            <a:effectLst/>
          </c:spPr>
          <c:marker>
            <c:symbol val="none"/>
          </c:marker>
          <c:xVal>
            <c:numRef>
              <c:f>[0]!Capture2_ElapsedTime</c:f>
              <c:numCache>
                <c:formatCode>General</c:formatCode>
                <c:ptCount val="2"/>
                <c:pt idx="0">
                  <c:v>0</c:v>
                </c:pt>
                <c:pt idx="1">
                  <c:v>1</c:v>
                </c:pt>
              </c:numCache>
            </c:numRef>
          </c:xVal>
          <c:yVal>
            <c:numRef>
              <c:f>[0]!Capture2_PerfPerWatt</c:f>
              <c:numCache>
                <c:formatCode>General</c:formatCode>
                <c:ptCount val="2"/>
                <c:pt idx="0">
                  <c:v>0</c:v>
                </c:pt>
                <c:pt idx="1">
                  <c:v>0</c:v>
                </c:pt>
              </c:numCache>
            </c:numRef>
          </c:yVal>
          <c:smooth val="0"/>
          <c:extLst>
            <c:ext xmlns:c16="http://schemas.microsoft.com/office/drawing/2014/chart" uri="{C3380CC4-5D6E-409C-BE32-E72D297353CC}">
              <c16:uniqueId val="{00000001-4C53-44A3-84AE-541F77357471}"/>
            </c:ext>
          </c:extLst>
        </c:ser>
        <c:dLbls>
          <c:showLegendKey val="0"/>
          <c:showVal val="0"/>
          <c:showCatName val="0"/>
          <c:showSerName val="0"/>
          <c:showPercent val="0"/>
          <c:showBubbleSize val="0"/>
        </c:dLbls>
        <c:axId val="1054897392"/>
        <c:axId val="1054897064"/>
      </c:scatterChart>
      <c:valAx>
        <c:axId val="10548659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75000"/>
                <a:lumOff val="2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4865248"/>
        <c:crosses val="autoZero"/>
        <c:crossBetween val="midCat"/>
      </c:valAx>
      <c:valAx>
        <c:axId val="105486524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r>
                  <a:rPr lang="en-US" sz="1050" b="1"/>
                  <a:t>Frames per Second (FPS)</a:t>
                </a:r>
              </a:p>
            </c:rich>
          </c:tx>
          <c:layout/>
          <c:overlay val="0"/>
          <c:spPr>
            <a:noFill/>
            <a:ln>
              <a:noFill/>
            </a:ln>
            <a:effectLst/>
          </c:spPr>
          <c:txPr>
            <a:bodyPr rot="-54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solidFill>
              <a:schemeClr val="tx1">
                <a:lumMod val="75000"/>
                <a:lumOff val="2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4865904"/>
        <c:crosses val="autoZero"/>
        <c:crossBetween val="midCat"/>
      </c:valAx>
      <c:valAx>
        <c:axId val="1054897064"/>
        <c:scaling>
          <c:orientation val="minMax"/>
          <c:min val="0"/>
        </c:scaling>
        <c:delete val="0"/>
        <c:axPos val="r"/>
        <c:title>
          <c:tx>
            <c:rich>
              <a:bodyPr rot="5400000" spcFirstLastPara="1" vertOverflow="ellipsis" wrap="square" anchor="ctr" anchorCtr="1"/>
              <a:lstStyle/>
              <a:p>
                <a:pPr>
                  <a:defRPr sz="1050" b="1" i="0" u="none" strike="noStrike" kern="1200" baseline="0">
                    <a:solidFill>
                      <a:schemeClr val="tx1">
                        <a:lumMod val="65000"/>
                        <a:lumOff val="35000"/>
                      </a:schemeClr>
                    </a:solidFill>
                    <a:latin typeface="+mn-lt"/>
                    <a:ea typeface="+mn-ea"/>
                    <a:cs typeface="+mn-cs"/>
                  </a:defRPr>
                </a:pPr>
                <a:r>
                  <a:rPr lang="en-US" sz="1050" b="1"/>
                  <a:t>Perf per Watt (FPS/W)</a:t>
                </a:r>
              </a:p>
            </c:rich>
          </c:tx>
          <c:layout/>
          <c:overlay val="0"/>
          <c:spPr>
            <a:noFill/>
            <a:ln>
              <a:noFill/>
            </a:ln>
            <a:effectLst/>
          </c:spPr>
          <c:txPr>
            <a:bodyPr rot="5400000" spcFirstLastPara="1" vertOverflow="ellipsis"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solidFill>
              <a:schemeClr val="tx1">
                <a:lumMod val="75000"/>
                <a:lumOff val="2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4897392"/>
        <c:crosses val="max"/>
        <c:crossBetween val="midCat"/>
      </c:valAx>
      <c:valAx>
        <c:axId val="1054897392"/>
        <c:scaling>
          <c:orientation val="minMax"/>
        </c:scaling>
        <c:delete val="1"/>
        <c:axPos val="b"/>
        <c:title>
          <c:tx>
            <c:rich>
              <a:bodyPr rot="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r>
                  <a:rPr lang="en-US" sz="1050" b="1"/>
                  <a:t>Time (Seconds)</a:t>
                </a:r>
              </a:p>
            </c:rich>
          </c:tx>
          <c:layout/>
          <c:overlay val="0"/>
          <c:spPr>
            <a:noFill/>
            <a:ln>
              <a:noFill/>
            </a:ln>
            <a:effectLst/>
          </c:spPr>
          <c:txPr>
            <a:bodyPr rot="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crossAx val="1054897064"/>
        <c:crosses val="autoZero"/>
        <c:crossBetween val="midCat"/>
      </c:valAx>
      <c:spPr>
        <a:solidFill>
          <a:schemeClr val="bg1"/>
        </a:solidFill>
        <a:ln>
          <a:solidFill>
            <a:schemeClr val="tx1">
              <a:lumMod val="75000"/>
              <a:lumOff val="25000"/>
            </a:schemeClr>
          </a:solidFill>
        </a:ln>
        <a:effectLst/>
      </c:spPr>
    </c:plotArea>
    <c:legend>
      <c:legendPos val="t"/>
      <c:layout/>
      <c:overlay val="0"/>
      <c:spPr>
        <a:solidFill>
          <a:schemeClr val="bg1"/>
        </a:solidFill>
        <a:ln>
          <a:solidFill>
            <a:schemeClr val="bg1">
              <a:lumMod val="50000"/>
            </a:schemeClr>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lumMod val="95000"/>
      </a:schemeClr>
    </a:solidFill>
    <a:ln w="9525" cap="flat" cmpd="sng" algn="ctr">
      <a:solidFill>
        <a:schemeClr val="tx1">
          <a:lumMod val="75000"/>
          <a:lumOff val="2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Backend!$B$20</c:f>
          <c:strCache>
            <c:ptCount val="1"/>
          </c:strCache>
        </c:strRef>
      </c:tx>
      <c:layout>
        <c:manualLayout>
          <c:xMode val="edge"/>
          <c:yMode val="edge"/>
          <c:x val="0.1147352245646359"/>
          <c:y val="1.5432098765432098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FPS</c:v>
          </c:tx>
          <c:spPr>
            <a:ln w="12700" cap="rnd">
              <a:solidFill>
                <a:schemeClr val="tx1">
                  <a:lumMod val="85000"/>
                  <a:lumOff val="15000"/>
                  <a:alpha val="80000"/>
                </a:schemeClr>
              </a:solidFill>
              <a:round/>
            </a:ln>
            <a:effectLst/>
          </c:spPr>
          <c:marker>
            <c:symbol val="none"/>
          </c:marker>
          <c:xVal>
            <c:numRef>
              <c:f>[0]!Capture3_ElapsedTime</c:f>
              <c:numCache>
                <c:formatCode>General</c:formatCode>
                <c:ptCount val="2"/>
                <c:pt idx="0">
                  <c:v>0</c:v>
                </c:pt>
                <c:pt idx="1">
                  <c:v>1</c:v>
                </c:pt>
              </c:numCache>
            </c:numRef>
          </c:xVal>
          <c:yVal>
            <c:numRef>
              <c:f>[0]!Capture3_FPS</c:f>
              <c:numCache>
                <c:formatCode>General</c:formatCode>
                <c:ptCount val="2"/>
                <c:pt idx="0">
                  <c:v>0</c:v>
                </c:pt>
                <c:pt idx="1">
                  <c:v>0</c:v>
                </c:pt>
              </c:numCache>
            </c:numRef>
          </c:yVal>
          <c:smooth val="0"/>
          <c:extLst>
            <c:ext xmlns:c16="http://schemas.microsoft.com/office/drawing/2014/chart" uri="{C3380CC4-5D6E-409C-BE32-E72D297353CC}">
              <c16:uniqueId val="{00000000-93E1-4915-BD7C-2F39D82FAC67}"/>
            </c:ext>
          </c:extLst>
        </c:ser>
        <c:dLbls>
          <c:showLegendKey val="0"/>
          <c:showVal val="0"/>
          <c:showCatName val="0"/>
          <c:showSerName val="0"/>
          <c:showPercent val="0"/>
          <c:showBubbleSize val="0"/>
        </c:dLbls>
        <c:axId val="1054865904"/>
        <c:axId val="1054865248"/>
      </c:scatterChart>
      <c:scatterChart>
        <c:scatterStyle val="lineMarker"/>
        <c:varyColors val="0"/>
        <c:ser>
          <c:idx val="1"/>
          <c:order val="1"/>
          <c:tx>
            <c:v>Perf/Watt</c:v>
          </c:tx>
          <c:spPr>
            <a:ln w="12700" cap="rnd">
              <a:solidFill>
                <a:srgbClr val="9966FF">
                  <a:alpha val="67000"/>
                </a:srgbClr>
              </a:solidFill>
              <a:round/>
            </a:ln>
            <a:effectLst/>
          </c:spPr>
          <c:marker>
            <c:symbol val="none"/>
          </c:marker>
          <c:xVal>
            <c:numRef>
              <c:f>[0]!Capture3_ElapsedTime</c:f>
              <c:numCache>
                <c:formatCode>General</c:formatCode>
                <c:ptCount val="2"/>
                <c:pt idx="0">
                  <c:v>0</c:v>
                </c:pt>
                <c:pt idx="1">
                  <c:v>1</c:v>
                </c:pt>
              </c:numCache>
            </c:numRef>
          </c:xVal>
          <c:yVal>
            <c:numRef>
              <c:f>[0]!Capture3_PerfPerWatt</c:f>
              <c:numCache>
                <c:formatCode>General</c:formatCode>
                <c:ptCount val="2"/>
                <c:pt idx="0">
                  <c:v>0</c:v>
                </c:pt>
                <c:pt idx="1">
                  <c:v>0</c:v>
                </c:pt>
              </c:numCache>
            </c:numRef>
          </c:yVal>
          <c:smooth val="0"/>
          <c:extLst>
            <c:ext xmlns:c16="http://schemas.microsoft.com/office/drawing/2014/chart" uri="{C3380CC4-5D6E-409C-BE32-E72D297353CC}">
              <c16:uniqueId val="{00000001-93E1-4915-BD7C-2F39D82FAC67}"/>
            </c:ext>
          </c:extLst>
        </c:ser>
        <c:dLbls>
          <c:showLegendKey val="0"/>
          <c:showVal val="0"/>
          <c:showCatName val="0"/>
          <c:showSerName val="0"/>
          <c:showPercent val="0"/>
          <c:showBubbleSize val="0"/>
        </c:dLbls>
        <c:axId val="1054897392"/>
        <c:axId val="1054897064"/>
      </c:scatterChart>
      <c:valAx>
        <c:axId val="10548659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75000"/>
                <a:lumOff val="2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4865248"/>
        <c:crosses val="autoZero"/>
        <c:crossBetween val="midCat"/>
      </c:valAx>
      <c:valAx>
        <c:axId val="105486524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r>
                  <a:rPr lang="en-US" sz="1050" b="1"/>
                  <a:t>Frames per Second (FPS)</a:t>
                </a:r>
              </a:p>
            </c:rich>
          </c:tx>
          <c:layout/>
          <c:overlay val="0"/>
          <c:spPr>
            <a:noFill/>
            <a:ln>
              <a:noFill/>
            </a:ln>
            <a:effectLst/>
          </c:spPr>
          <c:txPr>
            <a:bodyPr rot="-54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solidFill>
              <a:schemeClr val="tx1">
                <a:lumMod val="75000"/>
                <a:lumOff val="2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4865904"/>
        <c:crosses val="autoZero"/>
        <c:crossBetween val="midCat"/>
      </c:valAx>
      <c:valAx>
        <c:axId val="1054897064"/>
        <c:scaling>
          <c:orientation val="minMax"/>
          <c:min val="0"/>
        </c:scaling>
        <c:delete val="0"/>
        <c:axPos val="r"/>
        <c:title>
          <c:tx>
            <c:rich>
              <a:bodyPr rot="5400000" spcFirstLastPara="1" vertOverflow="ellipsis" wrap="square" anchor="ctr" anchorCtr="1"/>
              <a:lstStyle/>
              <a:p>
                <a:pPr>
                  <a:defRPr sz="1050" b="1" i="0" u="none" strike="noStrike" kern="1200" baseline="0">
                    <a:solidFill>
                      <a:schemeClr val="tx1">
                        <a:lumMod val="65000"/>
                        <a:lumOff val="35000"/>
                      </a:schemeClr>
                    </a:solidFill>
                    <a:latin typeface="+mn-lt"/>
                    <a:ea typeface="+mn-ea"/>
                    <a:cs typeface="+mn-cs"/>
                  </a:defRPr>
                </a:pPr>
                <a:r>
                  <a:rPr lang="en-US" sz="1050" b="1"/>
                  <a:t>Perf per Watt (FPS/W)</a:t>
                </a:r>
              </a:p>
            </c:rich>
          </c:tx>
          <c:layout/>
          <c:overlay val="0"/>
          <c:spPr>
            <a:noFill/>
            <a:ln>
              <a:noFill/>
            </a:ln>
            <a:effectLst/>
          </c:spPr>
          <c:txPr>
            <a:bodyPr rot="5400000" spcFirstLastPara="1" vertOverflow="ellipsis"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solidFill>
              <a:schemeClr val="tx1">
                <a:lumMod val="75000"/>
                <a:lumOff val="2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4897392"/>
        <c:crosses val="max"/>
        <c:crossBetween val="midCat"/>
      </c:valAx>
      <c:valAx>
        <c:axId val="1054897392"/>
        <c:scaling>
          <c:orientation val="minMax"/>
        </c:scaling>
        <c:delete val="1"/>
        <c:axPos val="b"/>
        <c:title>
          <c:tx>
            <c:rich>
              <a:bodyPr rot="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r>
                  <a:rPr lang="en-US" sz="1050" b="1"/>
                  <a:t>Time (Seconds)</a:t>
                </a:r>
              </a:p>
            </c:rich>
          </c:tx>
          <c:layout/>
          <c:overlay val="0"/>
          <c:spPr>
            <a:noFill/>
            <a:ln>
              <a:noFill/>
            </a:ln>
            <a:effectLst/>
          </c:spPr>
          <c:txPr>
            <a:bodyPr rot="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crossAx val="1054897064"/>
        <c:crosses val="autoZero"/>
        <c:crossBetween val="midCat"/>
      </c:valAx>
      <c:spPr>
        <a:solidFill>
          <a:schemeClr val="bg1"/>
        </a:solidFill>
        <a:ln>
          <a:solidFill>
            <a:schemeClr val="tx1">
              <a:lumMod val="75000"/>
              <a:lumOff val="25000"/>
            </a:schemeClr>
          </a:solidFill>
        </a:ln>
        <a:effectLst/>
      </c:spPr>
    </c:plotArea>
    <c:legend>
      <c:legendPos val="t"/>
      <c:layout/>
      <c:overlay val="0"/>
      <c:spPr>
        <a:solidFill>
          <a:schemeClr val="bg1"/>
        </a:solidFill>
        <a:ln>
          <a:solidFill>
            <a:schemeClr val="bg1">
              <a:lumMod val="50000"/>
            </a:schemeClr>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lumMod val="95000"/>
      </a:schemeClr>
    </a:solidFill>
    <a:ln w="9525" cap="flat" cmpd="sng" algn="ctr">
      <a:solidFill>
        <a:schemeClr val="tx1">
          <a:lumMod val="75000"/>
          <a:lumOff val="2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Backend!$B$24</c:f>
          <c:strCache>
            <c:ptCount val="1"/>
            <c:pt idx="0">
              <c:v>Frame Rate</c:v>
            </c:pt>
          </c:strCache>
        </c:strRef>
      </c:tx>
      <c:layout/>
      <c:overlay val="0"/>
      <c:spPr>
        <a:noFill/>
        <a:ln>
          <a:noFill/>
        </a:ln>
        <a:effectLst/>
      </c:spPr>
      <c:txPr>
        <a:bodyPr rot="0" spcFirstLastPara="1" vertOverflow="ellipsis" vert="horz" wrap="square" anchor="ctr" anchorCtr="1"/>
        <a:lstStyle/>
        <a:p>
          <a:pPr>
            <a:defRPr sz="1400" b="1" i="0" u="none" strike="noStrike" kern="1200" cap="none" spc="0" normalizeH="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[0]!Capture1_Variable</c:f>
              <c:strCache>
                <c:ptCount val="1"/>
              </c:strCache>
            </c:strRef>
          </c:tx>
          <c:spPr>
            <a:ln w="12700" cap="rnd">
              <a:solidFill>
                <a:schemeClr val="tx1">
                  <a:lumMod val="85000"/>
                  <a:lumOff val="15000"/>
                  <a:alpha val="80000"/>
                </a:schemeClr>
              </a:solidFill>
              <a:round/>
            </a:ln>
            <a:effectLst/>
          </c:spPr>
          <c:marker>
            <c:symbol val="none"/>
          </c:marker>
          <c:xVal>
            <c:numRef>
              <c:f>[0]!Capture1_ElapsedTime</c:f>
              <c:numCache>
                <c:formatCode>General</c:formatCode>
                <c:ptCount val="2"/>
                <c:pt idx="0">
                  <c:v>0</c:v>
                </c:pt>
                <c:pt idx="1">
                  <c:v>1</c:v>
                </c:pt>
              </c:numCache>
            </c:numRef>
          </c:xVal>
          <c:yVal>
            <c:numRef>
              <c:f>[0]!Capture1_FPS</c:f>
              <c:numCache>
                <c:formatCode>General</c:formatCode>
                <c:ptCount val="2"/>
                <c:pt idx="0">
                  <c:v>0</c:v>
                </c:pt>
                <c:pt idx="1">
                  <c:v>0</c:v>
                </c:pt>
              </c:numCache>
            </c:numRef>
          </c:yVal>
          <c:smooth val="0"/>
          <c:extLst>
            <c:ext xmlns:c16="http://schemas.microsoft.com/office/drawing/2014/chart" uri="{C3380CC4-5D6E-409C-BE32-E72D297353CC}">
              <c16:uniqueId val="{00000000-D2CA-4B1E-9879-2C5F6DB894C0}"/>
            </c:ext>
          </c:extLst>
        </c:ser>
        <c:ser>
          <c:idx val="1"/>
          <c:order val="1"/>
          <c:tx>
            <c:strRef>
              <c:f>[0]!Capture2_Variable</c:f>
              <c:strCache>
                <c:ptCount val="1"/>
              </c:strCache>
              <c:extLst xmlns:c15="http://schemas.microsoft.com/office/drawing/2012/chart"/>
            </c:strRef>
          </c:tx>
          <c:spPr>
            <a:ln w="12700" cap="rnd">
              <a:solidFill>
                <a:srgbClr val="FFC000">
                  <a:alpha val="67000"/>
                </a:srgbClr>
              </a:solidFill>
              <a:round/>
            </a:ln>
            <a:effectLst/>
          </c:spPr>
          <c:marker>
            <c:symbol val="none"/>
          </c:marker>
          <c:xVal>
            <c:numRef>
              <c:f>[0]!Capture2_ElapsedTime</c:f>
              <c:numCache>
                <c:formatCode>General</c:formatCode>
                <c:ptCount val="2"/>
                <c:pt idx="0">
                  <c:v>0</c:v>
                </c:pt>
                <c:pt idx="1">
                  <c:v>1</c:v>
                </c:pt>
              </c:numCache>
            </c:numRef>
          </c:xVal>
          <c:yVal>
            <c:numRef>
              <c:f>[0]!Capture2_FPS</c:f>
              <c:numCache>
                <c:formatCode>General</c:formatCode>
                <c:ptCount val="2"/>
                <c:pt idx="0">
                  <c:v>0</c:v>
                </c:pt>
                <c:pt idx="1">
                  <c:v>0</c:v>
                </c:pt>
              </c:numCache>
            </c:numRef>
          </c:yVal>
          <c:smooth val="0"/>
          <c:extLst>
            <c:ext xmlns:c16="http://schemas.microsoft.com/office/drawing/2014/chart" uri="{C3380CC4-5D6E-409C-BE32-E72D297353CC}">
              <c16:uniqueId val="{00000001-D2CA-4B1E-9879-2C5F6DB894C0}"/>
            </c:ext>
          </c:extLst>
        </c:ser>
        <c:ser>
          <c:idx val="2"/>
          <c:order val="2"/>
          <c:tx>
            <c:strRef>
              <c:f>[0]!Capture3_Variable</c:f>
              <c:strCache>
                <c:ptCount val="1"/>
              </c:strCache>
              <c:extLst xmlns:c15="http://schemas.microsoft.com/office/drawing/2012/chart"/>
            </c:strRef>
          </c:tx>
          <c:spPr>
            <a:ln w="12700" cap="rnd">
              <a:solidFill>
                <a:srgbClr val="9966FF">
                  <a:alpha val="66667"/>
                </a:srgbClr>
              </a:solidFill>
              <a:round/>
            </a:ln>
            <a:effectLst/>
          </c:spPr>
          <c:marker>
            <c:symbol val="none"/>
          </c:marker>
          <c:xVal>
            <c:numRef>
              <c:f>[0]!Capture3_ElapsedTime</c:f>
              <c:numCache>
                <c:formatCode>General</c:formatCode>
                <c:ptCount val="2"/>
                <c:pt idx="0">
                  <c:v>0</c:v>
                </c:pt>
                <c:pt idx="1">
                  <c:v>1</c:v>
                </c:pt>
              </c:numCache>
            </c:numRef>
          </c:xVal>
          <c:yVal>
            <c:numRef>
              <c:f>[0]!Capture3_FPS</c:f>
              <c:numCache>
                <c:formatCode>General</c:formatCode>
                <c:ptCount val="2"/>
                <c:pt idx="0">
                  <c:v>0</c:v>
                </c:pt>
                <c:pt idx="1">
                  <c:v>0</c:v>
                </c:pt>
              </c:numCache>
            </c:numRef>
          </c:yVal>
          <c:smooth val="0"/>
          <c:extLst>
            <c:ext xmlns:c16="http://schemas.microsoft.com/office/drawing/2014/chart" uri="{C3380CC4-5D6E-409C-BE32-E72D297353CC}">
              <c16:uniqueId val="{00000002-D2CA-4B1E-9879-2C5F6DB894C0}"/>
            </c:ext>
          </c:extLst>
        </c:ser>
        <c:dLbls>
          <c:showLegendKey val="0"/>
          <c:showVal val="0"/>
          <c:showCatName val="0"/>
          <c:showSerName val="0"/>
          <c:showPercent val="0"/>
          <c:showBubbleSize val="0"/>
        </c:dLbls>
        <c:axId val="1054865904"/>
        <c:axId val="1054865248"/>
      </c:scatterChart>
      <c:valAx>
        <c:axId val="105486590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r>
                  <a:rPr lang="en-US" sz="1050" b="1"/>
                  <a:t>Time (Seconds)</a:t>
                </a:r>
              </a:p>
            </c:rich>
          </c:tx>
          <c:layout/>
          <c:overlay val="0"/>
          <c:spPr>
            <a:noFill/>
            <a:ln>
              <a:noFill/>
            </a:ln>
            <a:effectLst/>
          </c:spPr>
          <c:txPr>
            <a:bodyPr rot="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75000"/>
                <a:lumOff val="2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4865248"/>
        <c:crosses val="autoZero"/>
        <c:crossBetween val="midCat"/>
      </c:valAx>
      <c:valAx>
        <c:axId val="105486524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r>
                  <a:rPr lang="en-US" sz="1050" b="1"/>
                  <a:t>Frames per Second (FPS)</a:t>
                </a:r>
              </a:p>
            </c:rich>
          </c:tx>
          <c:layout/>
          <c:overlay val="0"/>
          <c:spPr>
            <a:noFill/>
            <a:ln>
              <a:noFill/>
            </a:ln>
            <a:effectLst/>
          </c:spPr>
          <c:txPr>
            <a:bodyPr rot="-54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solidFill>
              <a:schemeClr val="tx1">
                <a:lumMod val="75000"/>
                <a:lumOff val="2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4865904"/>
        <c:crosses val="autoZero"/>
        <c:crossBetween val="midCat"/>
      </c:valAx>
      <c:spPr>
        <a:solidFill>
          <a:schemeClr val="bg1"/>
        </a:solidFill>
        <a:ln>
          <a:solidFill>
            <a:schemeClr val="tx1">
              <a:lumMod val="75000"/>
              <a:lumOff val="25000"/>
            </a:schemeClr>
          </a:solidFill>
        </a:ln>
        <a:effectLst/>
      </c:spPr>
    </c:plotArea>
    <c:legend>
      <c:legendPos val="t"/>
      <c:layout/>
      <c:overlay val="0"/>
      <c:spPr>
        <a:solidFill>
          <a:schemeClr val="bg1"/>
        </a:solidFill>
        <a:ln>
          <a:solidFill>
            <a:schemeClr val="bg1">
              <a:lumMod val="50000"/>
            </a:schemeClr>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lumMod val="95000"/>
      </a:schemeClr>
    </a:solidFill>
    <a:ln w="9525" cap="flat" cmpd="sng" algn="ctr">
      <a:solidFill>
        <a:schemeClr val="tx1">
          <a:lumMod val="75000"/>
          <a:lumOff val="2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Backend!$B$25</c:f>
          <c:strCache>
            <c:ptCount val="1"/>
            <c:pt idx="0">
              <c:v>Power Draw</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[0]!Capture1_Variable</c:f>
              <c:strCache>
                <c:ptCount val="1"/>
              </c:strCache>
            </c:strRef>
          </c:tx>
          <c:spPr>
            <a:ln w="19050" cap="rnd">
              <a:solidFill>
                <a:schemeClr val="tx1">
                  <a:lumMod val="85000"/>
                  <a:lumOff val="15000"/>
                  <a:alpha val="80000"/>
                </a:schemeClr>
              </a:solidFill>
              <a:round/>
            </a:ln>
            <a:effectLst/>
          </c:spPr>
          <c:marker>
            <c:symbol val="none"/>
          </c:marker>
          <c:xVal>
            <c:numRef>
              <c:f>[0]!Capture1_ElapsedTime</c:f>
              <c:numCache>
                <c:formatCode>General</c:formatCode>
                <c:ptCount val="2"/>
                <c:pt idx="0">
                  <c:v>0</c:v>
                </c:pt>
                <c:pt idx="1">
                  <c:v>1</c:v>
                </c:pt>
              </c:numCache>
            </c:numRef>
          </c:xVal>
          <c:yVal>
            <c:numRef>
              <c:f>[0]!Capture1_Power</c:f>
              <c:numCache>
                <c:formatCode>General</c:formatCode>
                <c:ptCount val="2"/>
                <c:pt idx="0">
                  <c:v>0</c:v>
                </c:pt>
                <c:pt idx="1">
                  <c:v>0</c:v>
                </c:pt>
              </c:numCache>
            </c:numRef>
          </c:yVal>
          <c:smooth val="0"/>
          <c:extLst>
            <c:ext xmlns:c16="http://schemas.microsoft.com/office/drawing/2014/chart" uri="{C3380CC4-5D6E-409C-BE32-E72D297353CC}">
              <c16:uniqueId val="{00000000-11E6-432B-A77C-B6F4DBB197E3}"/>
            </c:ext>
          </c:extLst>
        </c:ser>
        <c:ser>
          <c:idx val="1"/>
          <c:order val="1"/>
          <c:tx>
            <c:strRef>
              <c:f>[0]!Capture2_Variable</c:f>
              <c:strCache>
                <c:ptCount val="1"/>
              </c:strCache>
              <c:extLst xmlns:c15="http://schemas.microsoft.com/office/drawing/2012/chart"/>
            </c:strRef>
          </c:tx>
          <c:spPr>
            <a:ln w="19050" cap="rnd">
              <a:solidFill>
                <a:srgbClr val="FFC000">
                  <a:alpha val="67000"/>
                </a:srgbClr>
              </a:solidFill>
              <a:round/>
            </a:ln>
            <a:effectLst/>
          </c:spPr>
          <c:marker>
            <c:symbol val="none"/>
          </c:marker>
          <c:xVal>
            <c:numRef>
              <c:f>[0]!Capture2_ElapsedTime</c:f>
              <c:numCache>
                <c:formatCode>General</c:formatCode>
                <c:ptCount val="2"/>
                <c:pt idx="0">
                  <c:v>0</c:v>
                </c:pt>
                <c:pt idx="1">
                  <c:v>1</c:v>
                </c:pt>
              </c:numCache>
            </c:numRef>
          </c:xVal>
          <c:yVal>
            <c:numRef>
              <c:f>[0]!Capture2_Power</c:f>
              <c:numCache>
                <c:formatCode>General</c:formatCode>
                <c:ptCount val="2"/>
                <c:pt idx="0">
                  <c:v>0</c:v>
                </c:pt>
                <c:pt idx="1">
                  <c:v>0</c:v>
                </c:pt>
              </c:numCache>
            </c:numRef>
          </c:yVal>
          <c:smooth val="0"/>
          <c:extLst>
            <c:ext xmlns:c16="http://schemas.microsoft.com/office/drawing/2014/chart" uri="{C3380CC4-5D6E-409C-BE32-E72D297353CC}">
              <c16:uniqueId val="{00000001-11E6-432B-A77C-B6F4DBB197E3}"/>
            </c:ext>
          </c:extLst>
        </c:ser>
        <c:ser>
          <c:idx val="2"/>
          <c:order val="2"/>
          <c:tx>
            <c:strRef>
              <c:f>[0]!Capture3_Variable</c:f>
              <c:strCache>
                <c:ptCount val="1"/>
              </c:strCache>
              <c:extLst xmlns:c15="http://schemas.microsoft.com/office/drawing/2012/chart"/>
            </c:strRef>
          </c:tx>
          <c:spPr>
            <a:ln w="19050" cap="rnd">
              <a:solidFill>
                <a:srgbClr val="9966FF">
                  <a:alpha val="67000"/>
                </a:srgbClr>
              </a:solidFill>
              <a:round/>
            </a:ln>
            <a:effectLst/>
          </c:spPr>
          <c:marker>
            <c:symbol val="none"/>
          </c:marker>
          <c:xVal>
            <c:numRef>
              <c:f>[0]!Capture3_ElapsedTime</c:f>
              <c:numCache>
                <c:formatCode>General</c:formatCode>
                <c:ptCount val="2"/>
                <c:pt idx="0">
                  <c:v>0</c:v>
                </c:pt>
                <c:pt idx="1">
                  <c:v>1</c:v>
                </c:pt>
              </c:numCache>
            </c:numRef>
          </c:xVal>
          <c:yVal>
            <c:numRef>
              <c:f>[0]!Capture3_Power</c:f>
              <c:numCache>
                <c:formatCode>General</c:formatCode>
                <c:ptCount val="2"/>
                <c:pt idx="0">
                  <c:v>0</c:v>
                </c:pt>
                <c:pt idx="1">
                  <c:v>0</c:v>
                </c:pt>
              </c:numCache>
            </c:numRef>
          </c:yVal>
          <c:smooth val="0"/>
          <c:extLst>
            <c:ext xmlns:c16="http://schemas.microsoft.com/office/drawing/2014/chart" uri="{C3380CC4-5D6E-409C-BE32-E72D297353CC}">
              <c16:uniqueId val="{00000002-11E6-432B-A77C-B6F4DBB197E3}"/>
            </c:ext>
          </c:extLst>
        </c:ser>
        <c:dLbls>
          <c:showLegendKey val="0"/>
          <c:showVal val="0"/>
          <c:showCatName val="0"/>
          <c:showSerName val="0"/>
          <c:showPercent val="0"/>
          <c:showBubbleSize val="0"/>
        </c:dLbls>
        <c:axId val="1054865904"/>
        <c:axId val="1054865248"/>
      </c:scatterChart>
      <c:valAx>
        <c:axId val="105486590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r>
                  <a:rPr lang="en-US" sz="1050" b="1"/>
                  <a:t>Time (Seconds)</a:t>
                </a:r>
              </a:p>
            </c:rich>
          </c:tx>
          <c:layout/>
          <c:overlay val="0"/>
          <c:spPr>
            <a:noFill/>
            <a:ln>
              <a:noFill/>
            </a:ln>
            <a:effectLst/>
          </c:spPr>
          <c:txPr>
            <a:bodyPr rot="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75000"/>
                <a:lumOff val="2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4865248"/>
        <c:crosses val="autoZero"/>
        <c:crossBetween val="midCat"/>
      </c:valAx>
      <c:valAx>
        <c:axId val="105486524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r>
                  <a:rPr lang="en-US" sz="1050" b="1"/>
                  <a:t>Power Consumption (W)</a:t>
                </a:r>
              </a:p>
            </c:rich>
          </c:tx>
          <c:layout/>
          <c:overlay val="0"/>
          <c:spPr>
            <a:noFill/>
            <a:ln>
              <a:noFill/>
            </a:ln>
            <a:effectLst/>
          </c:spPr>
          <c:txPr>
            <a:bodyPr rot="-54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solidFill>
              <a:schemeClr val="tx1">
                <a:lumMod val="75000"/>
                <a:lumOff val="2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4865904"/>
        <c:crosses val="autoZero"/>
        <c:crossBetween val="midCat"/>
      </c:valAx>
      <c:spPr>
        <a:solidFill>
          <a:schemeClr val="bg1"/>
        </a:solidFill>
        <a:ln>
          <a:solidFill>
            <a:schemeClr val="tx1">
              <a:lumMod val="75000"/>
              <a:lumOff val="25000"/>
            </a:schemeClr>
          </a:solidFill>
        </a:ln>
        <a:effectLst/>
      </c:spPr>
    </c:plotArea>
    <c:legend>
      <c:legendPos val="t"/>
      <c:layout/>
      <c:overlay val="0"/>
      <c:spPr>
        <a:solidFill>
          <a:schemeClr val="bg1"/>
        </a:solidFill>
        <a:ln>
          <a:solidFill>
            <a:schemeClr val="bg1">
              <a:lumMod val="50000"/>
            </a:schemeClr>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lumMod val="95000"/>
      </a:schemeClr>
    </a:solidFill>
    <a:ln w="9525" cap="flat" cmpd="sng" algn="ctr">
      <a:solidFill>
        <a:schemeClr val="tx1">
          <a:lumMod val="75000"/>
          <a:lumOff val="2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Backend!$B$26</c:f>
          <c:strCache>
            <c:ptCount val="1"/>
            <c:pt idx="0">
              <c:v>Perf/Watt</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[0]!Capture1_Variable</c:f>
              <c:strCache>
                <c:ptCount val="1"/>
              </c:strCache>
            </c:strRef>
          </c:tx>
          <c:spPr>
            <a:ln w="12700" cap="rnd">
              <a:solidFill>
                <a:schemeClr val="tx1">
                  <a:lumMod val="85000"/>
                  <a:lumOff val="15000"/>
                  <a:alpha val="80000"/>
                </a:schemeClr>
              </a:solidFill>
              <a:round/>
            </a:ln>
            <a:effectLst/>
          </c:spPr>
          <c:marker>
            <c:symbol val="none"/>
          </c:marker>
          <c:xVal>
            <c:numRef>
              <c:f>[0]!Capture1_ElapsedTime</c:f>
              <c:numCache>
                <c:formatCode>General</c:formatCode>
                <c:ptCount val="2"/>
                <c:pt idx="0">
                  <c:v>0</c:v>
                </c:pt>
                <c:pt idx="1">
                  <c:v>1</c:v>
                </c:pt>
              </c:numCache>
            </c:numRef>
          </c:xVal>
          <c:yVal>
            <c:numRef>
              <c:f>[0]!Capture1_PerfPerWatt</c:f>
              <c:numCache>
                <c:formatCode>General</c:formatCode>
                <c:ptCount val="2"/>
                <c:pt idx="0">
                  <c:v>0</c:v>
                </c:pt>
                <c:pt idx="1">
                  <c:v>0</c:v>
                </c:pt>
              </c:numCache>
            </c:numRef>
          </c:yVal>
          <c:smooth val="0"/>
          <c:extLst>
            <c:ext xmlns:c16="http://schemas.microsoft.com/office/drawing/2014/chart" uri="{C3380CC4-5D6E-409C-BE32-E72D297353CC}">
              <c16:uniqueId val="{00000000-9601-4497-88AA-5E319E67BDDD}"/>
            </c:ext>
          </c:extLst>
        </c:ser>
        <c:ser>
          <c:idx val="1"/>
          <c:order val="1"/>
          <c:tx>
            <c:strRef>
              <c:f>[0]!Capture2_Variable</c:f>
              <c:strCache>
                <c:ptCount val="1"/>
              </c:strCache>
              <c:extLst xmlns:c15="http://schemas.microsoft.com/office/drawing/2012/chart"/>
            </c:strRef>
          </c:tx>
          <c:spPr>
            <a:ln w="12700" cap="rnd">
              <a:solidFill>
                <a:srgbClr val="FFC000">
                  <a:alpha val="67000"/>
                </a:srgbClr>
              </a:solidFill>
              <a:round/>
            </a:ln>
            <a:effectLst/>
          </c:spPr>
          <c:marker>
            <c:symbol val="none"/>
          </c:marker>
          <c:xVal>
            <c:numRef>
              <c:f>[0]!Capture2_ElapsedTime</c:f>
              <c:numCache>
                <c:formatCode>General</c:formatCode>
                <c:ptCount val="2"/>
                <c:pt idx="0">
                  <c:v>0</c:v>
                </c:pt>
                <c:pt idx="1">
                  <c:v>1</c:v>
                </c:pt>
              </c:numCache>
            </c:numRef>
          </c:xVal>
          <c:yVal>
            <c:numRef>
              <c:f>[0]!Capture2_PerfPerWatt</c:f>
              <c:numCache>
                <c:formatCode>General</c:formatCode>
                <c:ptCount val="2"/>
                <c:pt idx="0">
                  <c:v>0</c:v>
                </c:pt>
                <c:pt idx="1">
                  <c:v>0</c:v>
                </c:pt>
              </c:numCache>
            </c:numRef>
          </c:yVal>
          <c:smooth val="0"/>
          <c:extLst>
            <c:ext xmlns:c16="http://schemas.microsoft.com/office/drawing/2014/chart" uri="{C3380CC4-5D6E-409C-BE32-E72D297353CC}">
              <c16:uniqueId val="{00000001-9601-4497-88AA-5E319E67BDDD}"/>
            </c:ext>
          </c:extLst>
        </c:ser>
        <c:ser>
          <c:idx val="2"/>
          <c:order val="2"/>
          <c:tx>
            <c:strRef>
              <c:f>[0]!Capture3_Variable</c:f>
              <c:strCache>
                <c:ptCount val="1"/>
              </c:strCache>
              <c:extLst xmlns:c15="http://schemas.microsoft.com/office/drawing/2012/chart"/>
            </c:strRef>
          </c:tx>
          <c:spPr>
            <a:ln w="12700" cap="rnd">
              <a:solidFill>
                <a:srgbClr val="9966FF">
                  <a:alpha val="67000"/>
                </a:srgbClr>
              </a:solidFill>
              <a:round/>
            </a:ln>
            <a:effectLst/>
          </c:spPr>
          <c:marker>
            <c:symbol val="none"/>
          </c:marker>
          <c:xVal>
            <c:numRef>
              <c:f>[0]!Capture3_ElapsedTime</c:f>
              <c:numCache>
                <c:formatCode>General</c:formatCode>
                <c:ptCount val="2"/>
                <c:pt idx="0">
                  <c:v>0</c:v>
                </c:pt>
                <c:pt idx="1">
                  <c:v>1</c:v>
                </c:pt>
              </c:numCache>
            </c:numRef>
          </c:xVal>
          <c:yVal>
            <c:numRef>
              <c:f>[0]!Capture3_PerfPerWatt</c:f>
              <c:numCache>
                <c:formatCode>General</c:formatCode>
                <c:ptCount val="2"/>
                <c:pt idx="0">
                  <c:v>0</c:v>
                </c:pt>
                <c:pt idx="1">
                  <c:v>0</c:v>
                </c:pt>
              </c:numCache>
            </c:numRef>
          </c:yVal>
          <c:smooth val="0"/>
          <c:extLst>
            <c:ext xmlns:c16="http://schemas.microsoft.com/office/drawing/2014/chart" uri="{C3380CC4-5D6E-409C-BE32-E72D297353CC}">
              <c16:uniqueId val="{00000002-9601-4497-88AA-5E319E67BDDD}"/>
            </c:ext>
          </c:extLst>
        </c:ser>
        <c:dLbls>
          <c:showLegendKey val="0"/>
          <c:showVal val="0"/>
          <c:showCatName val="0"/>
          <c:showSerName val="0"/>
          <c:showPercent val="0"/>
          <c:showBubbleSize val="0"/>
        </c:dLbls>
        <c:axId val="1054865904"/>
        <c:axId val="1054865248"/>
      </c:scatterChart>
      <c:valAx>
        <c:axId val="105486590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r>
                  <a:rPr lang="en-US" sz="1050" b="1"/>
                  <a:t>Time (Seconds)</a:t>
                </a:r>
              </a:p>
            </c:rich>
          </c:tx>
          <c:layout/>
          <c:overlay val="0"/>
          <c:spPr>
            <a:noFill/>
            <a:ln>
              <a:noFill/>
            </a:ln>
            <a:effectLst/>
          </c:spPr>
          <c:txPr>
            <a:bodyPr rot="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75000"/>
                <a:lumOff val="2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4865248"/>
        <c:crosses val="autoZero"/>
        <c:crossBetween val="midCat"/>
      </c:valAx>
      <c:valAx>
        <c:axId val="105486524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r>
                  <a:rPr lang="en-US" sz="1050" b="1"/>
                  <a:t>Perf per Watt (FPS/W)</a:t>
                </a:r>
              </a:p>
            </c:rich>
          </c:tx>
          <c:layout/>
          <c:overlay val="0"/>
          <c:spPr>
            <a:noFill/>
            <a:ln>
              <a:noFill/>
            </a:ln>
            <a:effectLst/>
          </c:spPr>
          <c:txPr>
            <a:bodyPr rot="-54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solidFill>
              <a:schemeClr val="tx1">
                <a:lumMod val="75000"/>
                <a:lumOff val="2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4865904"/>
        <c:crosses val="autoZero"/>
        <c:crossBetween val="midCat"/>
      </c:valAx>
      <c:spPr>
        <a:solidFill>
          <a:schemeClr val="bg1"/>
        </a:solidFill>
        <a:ln>
          <a:solidFill>
            <a:schemeClr val="tx1">
              <a:lumMod val="75000"/>
              <a:lumOff val="25000"/>
            </a:schemeClr>
          </a:solidFill>
        </a:ln>
        <a:effectLst/>
      </c:spPr>
    </c:plotArea>
    <c:legend>
      <c:legendPos val="t"/>
      <c:layout/>
      <c:overlay val="0"/>
      <c:spPr>
        <a:solidFill>
          <a:schemeClr val="bg1"/>
        </a:solidFill>
        <a:ln>
          <a:solidFill>
            <a:schemeClr val="bg1">
              <a:lumMod val="50000"/>
            </a:schemeClr>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lumMod val="95000"/>
      </a:schemeClr>
    </a:solidFill>
    <a:ln w="9525" cap="flat" cmpd="sng" algn="ctr">
      <a:solidFill>
        <a:schemeClr val="tx1">
          <a:lumMod val="75000"/>
          <a:lumOff val="2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Backend!$B$27</c:f>
          <c:strCache>
            <c:ptCount val="1"/>
            <c:pt idx="0">
              <c:v>Render Present Latency</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[0]!Capture1_Variable</c:f>
              <c:strCache>
                <c:ptCount val="1"/>
              </c:strCache>
            </c:strRef>
          </c:tx>
          <c:spPr>
            <a:ln w="12700" cap="rnd">
              <a:solidFill>
                <a:schemeClr val="tx1">
                  <a:lumMod val="85000"/>
                  <a:lumOff val="15000"/>
                  <a:alpha val="80000"/>
                </a:schemeClr>
              </a:solidFill>
              <a:round/>
            </a:ln>
            <a:effectLst/>
          </c:spPr>
          <c:marker>
            <c:symbol val="none"/>
          </c:marker>
          <c:xVal>
            <c:numRef>
              <c:f>[0]!Capture1_ElapsedTime</c:f>
              <c:numCache>
                <c:formatCode>General</c:formatCode>
                <c:ptCount val="2"/>
                <c:pt idx="0">
                  <c:v>0</c:v>
                </c:pt>
                <c:pt idx="1">
                  <c:v>1</c:v>
                </c:pt>
              </c:numCache>
            </c:numRef>
          </c:xVal>
          <c:yVal>
            <c:numRef>
              <c:f>[0]!Capture1_RenderingLatency</c:f>
              <c:numCache>
                <c:formatCode>General</c:formatCode>
                <c:ptCount val="2"/>
                <c:pt idx="0">
                  <c:v>0</c:v>
                </c:pt>
                <c:pt idx="1">
                  <c:v>0</c:v>
                </c:pt>
              </c:numCache>
            </c:numRef>
          </c:yVal>
          <c:smooth val="0"/>
          <c:extLst>
            <c:ext xmlns:c16="http://schemas.microsoft.com/office/drawing/2014/chart" uri="{C3380CC4-5D6E-409C-BE32-E72D297353CC}">
              <c16:uniqueId val="{00000000-74DA-4884-8BCB-FCC36BB7D449}"/>
            </c:ext>
          </c:extLst>
        </c:ser>
        <c:ser>
          <c:idx val="1"/>
          <c:order val="1"/>
          <c:tx>
            <c:strRef>
              <c:f>[0]!Capture2_Variable</c:f>
              <c:strCache>
                <c:ptCount val="1"/>
              </c:strCache>
              <c:extLst xmlns:c15="http://schemas.microsoft.com/office/drawing/2012/chart"/>
            </c:strRef>
          </c:tx>
          <c:spPr>
            <a:ln w="12700" cap="rnd">
              <a:solidFill>
                <a:srgbClr val="FFC000">
                  <a:alpha val="67000"/>
                </a:srgbClr>
              </a:solidFill>
              <a:round/>
            </a:ln>
            <a:effectLst/>
          </c:spPr>
          <c:marker>
            <c:symbol val="none"/>
          </c:marker>
          <c:xVal>
            <c:numRef>
              <c:f>[0]!Capture2_ElapsedTime</c:f>
              <c:numCache>
                <c:formatCode>General</c:formatCode>
                <c:ptCount val="2"/>
                <c:pt idx="0">
                  <c:v>0</c:v>
                </c:pt>
                <c:pt idx="1">
                  <c:v>1</c:v>
                </c:pt>
              </c:numCache>
            </c:numRef>
          </c:xVal>
          <c:yVal>
            <c:numRef>
              <c:f>[0]!Capture2_RenderingLatency</c:f>
              <c:numCache>
                <c:formatCode>General</c:formatCode>
                <c:ptCount val="2"/>
                <c:pt idx="0">
                  <c:v>0</c:v>
                </c:pt>
                <c:pt idx="1">
                  <c:v>0</c:v>
                </c:pt>
              </c:numCache>
            </c:numRef>
          </c:yVal>
          <c:smooth val="0"/>
          <c:extLst>
            <c:ext xmlns:c16="http://schemas.microsoft.com/office/drawing/2014/chart" uri="{C3380CC4-5D6E-409C-BE32-E72D297353CC}">
              <c16:uniqueId val="{00000001-74DA-4884-8BCB-FCC36BB7D449}"/>
            </c:ext>
          </c:extLst>
        </c:ser>
        <c:ser>
          <c:idx val="2"/>
          <c:order val="2"/>
          <c:tx>
            <c:strRef>
              <c:f>[0]!Capture3_Variable</c:f>
              <c:strCache>
                <c:ptCount val="1"/>
              </c:strCache>
              <c:extLst xmlns:c15="http://schemas.microsoft.com/office/drawing/2012/chart"/>
            </c:strRef>
          </c:tx>
          <c:spPr>
            <a:ln w="12700" cap="rnd">
              <a:solidFill>
                <a:srgbClr val="9966FF">
                  <a:alpha val="67000"/>
                </a:srgbClr>
              </a:solidFill>
              <a:round/>
            </a:ln>
            <a:effectLst/>
          </c:spPr>
          <c:marker>
            <c:symbol val="none"/>
          </c:marker>
          <c:xVal>
            <c:numRef>
              <c:f>[0]!Capture3_ElapsedTime</c:f>
              <c:numCache>
                <c:formatCode>General</c:formatCode>
                <c:ptCount val="2"/>
                <c:pt idx="0">
                  <c:v>0</c:v>
                </c:pt>
                <c:pt idx="1">
                  <c:v>1</c:v>
                </c:pt>
              </c:numCache>
            </c:numRef>
          </c:xVal>
          <c:yVal>
            <c:numRef>
              <c:f>[0]!Capture3_RenderingLatency</c:f>
              <c:numCache>
                <c:formatCode>General</c:formatCode>
                <c:ptCount val="2"/>
                <c:pt idx="0">
                  <c:v>0</c:v>
                </c:pt>
                <c:pt idx="1">
                  <c:v>0</c:v>
                </c:pt>
              </c:numCache>
            </c:numRef>
          </c:yVal>
          <c:smooth val="0"/>
          <c:extLst>
            <c:ext xmlns:c16="http://schemas.microsoft.com/office/drawing/2014/chart" uri="{C3380CC4-5D6E-409C-BE32-E72D297353CC}">
              <c16:uniqueId val="{00000002-74DA-4884-8BCB-FCC36BB7D449}"/>
            </c:ext>
          </c:extLst>
        </c:ser>
        <c:dLbls>
          <c:showLegendKey val="0"/>
          <c:showVal val="0"/>
          <c:showCatName val="0"/>
          <c:showSerName val="0"/>
          <c:showPercent val="0"/>
          <c:showBubbleSize val="0"/>
        </c:dLbls>
        <c:axId val="1054865904"/>
        <c:axId val="1054865248"/>
      </c:scatterChart>
      <c:valAx>
        <c:axId val="105486590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r>
                  <a:rPr lang="en-US" sz="1050" b="1"/>
                  <a:t>Time (Seconds)</a:t>
                </a:r>
              </a:p>
            </c:rich>
          </c:tx>
          <c:overlay val="0"/>
          <c:spPr>
            <a:noFill/>
            <a:ln>
              <a:noFill/>
            </a:ln>
            <a:effectLst/>
          </c:spPr>
          <c:txPr>
            <a:bodyPr rot="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75000"/>
                <a:lumOff val="2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4865248"/>
        <c:crosses val="autoZero"/>
        <c:crossBetween val="midCat"/>
      </c:valAx>
      <c:valAx>
        <c:axId val="105486524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r>
                  <a:rPr lang="en-US" sz="1050" b="1"/>
                  <a:t>Rendering Latency (ms)</a:t>
                </a:r>
              </a:p>
            </c:rich>
          </c:tx>
          <c:overlay val="0"/>
          <c:spPr>
            <a:noFill/>
            <a:ln>
              <a:noFill/>
            </a:ln>
            <a:effectLst/>
          </c:spPr>
          <c:txPr>
            <a:bodyPr rot="-54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solidFill>
              <a:schemeClr val="tx1">
                <a:lumMod val="75000"/>
                <a:lumOff val="2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4865904"/>
        <c:crosses val="autoZero"/>
        <c:crossBetween val="midCat"/>
      </c:valAx>
      <c:spPr>
        <a:solidFill>
          <a:schemeClr val="bg1"/>
        </a:solidFill>
        <a:ln>
          <a:solidFill>
            <a:schemeClr val="tx1">
              <a:lumMod val="75000"/>
              <a:lumOff val="25000"/>
            </a:schemeClr>
          </a:solidFill>
        </a:ln>
        <a:effectLst/>
      </c:spPr>
    </c:plotArea>
    <c:legend>
      <c:legendPos val="t"/>
      <c:overlay val="0"/>
      <c:spPr>
        <a:solidFill>
          <a:schemeClr val="bg1"/>
        </a:solidFill>
        <a:ln>
          <a:solidFill>
            <a:schemeClr val="bg1">
              <a:lumMod val="50000"/>
            </a:schemeClr>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lumMod val="95000"/>
      </a:schemeClr>
    </a:solidFill>
    <a:ln w="9525" cap="flat" cmpd="sng" algn="ctr">
      <a:solidFill>
        <a:schemeClr val="tx1">
          <a:lumMod val="75000"/>
          <a:lumOff val="2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Backend!$B$29</c:f>
          <c:strCache>
            <c:ptCount val="1"/>
            <c:pt idx="0">
              <c:v>GPU0 Graphics Clock</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[0]!Capture1_Variable</c:f>
              <c:strCache>
                <c:ptCount val="1"/>
              </c:strCache>
            </c:strRef>
          </c:tx>
          <c:spPr>
            <a:ln w="19050" cap="rnd">
              <a:solidFill>
                <a:schemeClr val="tx1">
                  <a:lumMod val="85000"/>
                  <a:lumOff val="15000"/>
                  <a:alpha val="80000"/>
                </a:schemeClr>
              </a:solidFill>
              <a:round/>
            </a:ln>
            <a:effectLst/>
          </c:spPr>
          <c:marker>
            <c:symbol val="none"/>
          </c:marker>
          <c:xVal>
            <c:numRef>
              <c:f>[0]!Capture1_ElapsedTime</c:f>
              <c:numCache>
                <c:formatCode>General</c:formatCode>
                <c:ptCount val="2"/>
                <c:pt idx="0">
                  <c:v>0</c:v>
                </c:pt>
                <c:pt idx="1">
                  <c:v>1</c:v>
                </c:pt>
              </c:numCache>
            </c:numRef>
          </c:xVal>
          <c:yVal>
            <c:numRef>
              <c:f>[0]!Capture1_GPU0Clock</c:f>
              <c:numCache>
                <c:formatCode>General</c:formatCode>
                <c:ptCount val="2"/>
                <c:pt idx="0">
                  <c:v>0</c:v>
                </c:pt>
                <c:pt idx="1">
                  <c:v>0</c:v>
                </c:pt>
              </c:numCache>
            </c:numRef>
          </c:yVal>
          <c:smooth val="0"/>
          <c:extLst>
            <c:ext xmlns:c16="http://schemas.microsoft.com/office/drawing/2014/chart" uri="{C3380CC4-5D6E-409C-BE32-E72D297353CC}">
              <c16:uniqueId val="{00000000-4638-4114-BDA3-F9F0643812E8}"/>
            </c:ext>
          </c:extLst>
        </c:ser>
        <c:ser>
          <c:idx val="1"/>
          <c:order val="1"/>
          <c:tx>
            <c:strRef>
              <c:f>[0]!Capture2_Variable</c:f>
              <c:strCache>
                <c:ptCount val="1"/>
              </c:strCache>
              <c:extLst xmlns:c15="http://schemas.microsoft.com/office/drawing/2012/chart"/>
            </c:strRef>
          </c:tx>
          <c:spPr>
            <a:ln w="19050" cap="rnd">
              <a:solidFill>
                <a:srgbClr val="FFC000">
                  <a:alpha val="67000"/>
                </a:srgbClr>
              </a:solidFill>
              <a:round/>
            </a:ln>
            <a:effectLst/>
          </c:spPr>
          <c:marker>
            <c:symbol val="none"/>
          </c:marker>
          <c:xVal>
            <c:numRef>
              <c:f>[0]!Capture2_ElapsedTime</c:f>
              <c:numCache>
                <c:formatCode>General</c:formatCode>
                <c:ptCount val="2"/>
                <c:pt idx="0">
                  <c:v>0</c:v>
                </c:pt>
                <c:pt idx="1">
                  <c:v>1</c:v>
                </c:pt>
              </c:numCache>
            </c:numRef>
          </c:xVal>
          <c:yVal>
            <c:numRef>
              <c:f>[0]!Capture2_GPU0Clock</c:f>
              <c:numCache>
                <c:formatCode>General</c:formatCode>
                <c:ptCount val="2"/>
                <c:pt idx="0">
                  <c:v>0</c:v>
                </c:pt>
                <c:pt idx="1">
                  <c:v>0</c:v>
                </c:pt>
              </c:numCache>
            </c:numRef>
          </c:yVal>
          <c:smooth val="0"/>
          <c:extLst>
            <c:ext xmlns:c16="http://schemas.microsoft.com/office/drawing/2014/chart" uri="{C3380CC4-5D6E-409C-BE32-E72D297353CC}">
              <c16:uniqueId val="{00000001-4638-4114-BDA3-F9F0643812E8}"/>
            </c:ext>
          </c:extLst>
        </c:ser>
        <c:ser>
          <c:idx val="2"/>
          <c:order val="2"/>
          <c:tx>
            <c:strRef>
              <c:f>[0]!Capture3_Variable</c:f>
              <c:strCache>
                <c:ptCount val="1"/>
              </c:strCache>
              <c:extLst xmlns:c15="http://schemas.microsoft.com/office/drawing/2012/chart"/>
            </c:strRef>
          </c:tx>
          <c:spPr>
            <a:ln w="19050" cap="rnd">
              <a:solidFill>
                <a:srgbClr val="9966FF">
                  <a:alpha val="67000"/>
                </a:srgbClr>
              </a:solidFill>
              <a:round/>
            </a:ln>
            <a:effectLst/>
          </c:spPr>
          <c:marker>
            <c:symbol val="none"/>
          </c:marker>
          <c:xVal>
            <c:numRef>
              <c:f>[0]!Capture3_ElapsedTime</c:f>
              <c:numCache>
                <c:formatCode>General</c:formatCode>
                <c:ptCount val="2"/>
                <c:pt idx="0">
                  <c:v>0</c:v>
                </c:pt>
                <c:pt idx="1">
                  <c:v>1</c:v>
                </c:pt>
              </c:numCache>
            </c:numRef>
          </c:xVal>
          <c:yVal>
            <c:numRef>
              <c:f>[0]!Capture3_GPU0Clock</c:f>
              <c:numCache>
                <c:formatCode>General</c:formatCode>
                <c:ptCount val="2"/>
                <c:pt idx="0">
                  <c:v>0</c:v>
                </c:pt>
                <c:pt idx="1">
                  <c:v>0</c:v>
                </c:pt>
              </c:numCache>
            </c:numRef>
          </c:yVal>
          <c:smooth val="0"/>
          <c:extLst>
            <c:ext xmlns:c16="http://schemas.microsoft.com/office/drawing/2014/chart" uri="{C3380CC4-5D6E-409C-BE32-E72D297353CC}">
              <c16:uniqueId val="{00000002-4638-4114-BDA3-F9F0643812E8}"/>
            </c:ext>
          </c:extLst>
        </c:ser>
        <c:dLbls>
          <c:showLegendKey val="0"/>
          <c:showVal val="0"/>
          <c:showCatName val="0"/>
          <c:showSerName val="0"/>
          <c:showPercent val="0"/>
          <c:showBubbleSize val="0"/>
        </c:dLbls>
        <c:axId val="1054865904"/>
        <c:axId val="1054865248"/>
      </c:scatterChart>
      <c:valAx>
        <c:axId val="105486590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r>
                  <a:rPr lang="en-US" sz="1050" b="1"/>
                  <a:t>Time (Seconds)</a:t>
                </a:r>
              </a:p>
            </c:rich>
          </c:tx>
          <c:overlay val="0"/>
          <c:spPr>
            <a:noFill/>
            <a:ln>
              <a:noFill/>
            </a:ln>
            <a:effectLst/>
          </c:spPr>
          <c:txPr>
            <a:bodyPr rot="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75000"/>
                <a:lumOff val="2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4865248"/>
        <c:crosses val="autoZero"/>
        <c:crossBetween val="midCat"/>
      </c:valAx>
      <c:valAx>
        <c:axId val="105486524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r>
                  <a:rPr lang="en-US" sz="1050" b="1"/>
                  <a:t>Graphics Frequency (MHz)</a:t>
                </a:r>
              </a:p>
            </c:rich>
          </c:tx>
          <c:overlay val="0"/>
          <c:spPr>
            <a:noFill/>
            <a:ln>
              <a:noFill/>
            </a:ln>
            <a:effectLst/>
          </c:spPr>
          <c:txPr>
            <a:bodyPr rot="-54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solidFill>
              <a:schemeClr val="tx1">
                <a:lumMod val="75000"/>
                <a:lumOff val="2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4865904"/>
        <c:crosses val="autoZero"/>
        <c:crossBetween val="midCat"/>
      </c:valAx>
      <c:spPr>
        <a:solidFill>
          <a:schemeClr val="bg1"/>
        </a:solidFill>
        <a:ln>
          <a:solidFill>
            <a:schemeClr val="tx1">
              <a:lumMod val="75000"/>
              <a:lumOff val="25000"/>
            </a:schemeClr>
          </a:solidFill>
        </a:ln>
        <a:effectLst/>
      </c:spPr>
    </c:plotArea>
    <c:legend>
      <c:legendPos val="t"/>
      <c:overlay val="0"/>
      <c:spPr>
        <a:solidFill>
          <a:schemeClr val="bg1"/>
        </a:solidFill>
        <a:ln>
          <a:solidFill>
            <a:schemeClr val="bg1">
              <a:lumMod val="50000"/>
            </a:schemeClr>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lumMod val="95000"/>
      </a:schemeClr>
    </a:solidFill>
    <a:ln w="9525" cap="flat" cmpd="sng" algn="ctr">
      <a:solidFill>
        <a:schemeClr val="tx1">
          <a:lumMod val="75000"/>
          <a:lumOff val="2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Backend!$B$31</c:f>
          <c:strCache>
            <c:ptCount val="1"/>
            <c:pt idx="0">
              <c:v>GPU0 Temperature</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[0]!Capture1_Variable</c:f>
              <c:strCache>
                <c:ptCount val="1"/>
              </c:strCache>
            </c:strRef>
          </c:tx>
          <c:spPr>
            <a:ln w="19050" cap="rnd">
              <a:solidFill>
                <a:schemeClr val="tx1">
                  <a:lumMod val="85000"/>
                  <a:lumOff val="15000"/>
                  <a:alpha val="80000"/>
                </a:schemeClr>
              </a:solidFill>
              <a:round/>
            </a:ln>
            <a:effectLst/>
          </c:spPr>
          <c:marker>
            <c:symbol val="none"/>
          </c:marker>
          <c:xVal>
            <c:numRef>
              <c:f>[0]!Capture1_ElapsedTime</c:f>
              <c:numCache>
                <c:formatCode>General</c:formatCode>
                <c:ptCount val="2"/>
                <c:pt idx="0">
                  <c:v>0</c:v>
                </c:pt>
                <c:pt idx="1">
                  <c:v>1</c:v>
                </c:pt>
              </c:numCache>
            </c:numRef>
          </c:xVal>
          <c:yVal>
            <c:numRef>
              <c:f>[0]!Capture1_GPU0Temp</c:f>
              <c:numCache>
                <c:formatCode>General</c:formatCode>
                <c:ptCount val="2"/>
                <c:pt idx="0">
                  <c:v>0</c:v>
                </c:pt>
                <c:pt idx="1">
                  <c:v>0</c:v>
                </c:pt>
              </c:numCache>
            </c:numRef>
          </c:yVal>
          <c:smooth val="0"/>
          <c:extLst>
            <c:ext xmlns:c16="http://schemas.microsoft.com/office/drawing/2014/chart" uri="{C3380CC4-5D6E-409C-BE32-E72D297353CC}">
              <c16:uniqueId val="{00000000-F4AE-4BAB-A96E-5B58EDE13D50}"/>
            </c:ext>
          </c:extLst>
        </c:ser>
        <c:ser>
          <c:idx val="1"/>
          <c:order val="1"/>
          <c:tx>
            <c:strRef>
              <c:f>[0]!Capture2_Variable</c:f>
              <c:strCache>
                <c:ptCount val="1"/>
              </c:strCache>
              <c:extLst xmlns:c15="http://schemas.microsoft.com/office/drawing/2012/chart"/>
            </c:strRef>
          </c:tx>
          <c:spPr>
            <a:ln w="19050" cap="rnd">
              <a:solidFill>
                <a:srgbClr val="FFC000">
                  <a:alpha val="67000"/>
                </a:srgbClr>
              </a:solidFill>
              <a:round/>
            </a:ln>
            <a:effectLst/>
          </c:spPr>
          <c:marker>
            <c:symbol val="none"/>
          </c:marker>
          <c:xVal>
            <c:numRef>
              <c:f>[0]!Capture2_ElapsedTime</c:f>
              <c:numCache>
                <c:formatCode>General</c:formatCode>
                <c:ptCount val="2"/>
                <c:pt idx="0">
                  <c:v>0</c:v>
                </c:pt>
                <c:pt idx="1">
                  <c:v>1</c:v>
                </c:pt>
              </c:numCache>
            </c:numRef>
          </c:xVal>
          <c:yVal>
            <c:numRef>
              <c:f>[0]!Capture2_GPU0Temp</c:f>
              <c:numCache>
                <c:formatCode>General</c:formatCode>
                <c:ptCount val="2"/>
                <c:pt idx="0">
                  <c:v>0</c:v>
                </c:pt>
                <c:pt idx="1">
                  <c:v>0</c:v>
                </c:pt>
              </c:numCache>
            </c:numRef>
          </c:yVal>
          <c:smooth val="0"/>
          <c:extLst>
            <c:ext xmlns:c16="http://schemas.microsoft.com/office/drawing/2014/chart" uri="{C3380CC4-5D6E-409C-BE32-E72D297353CC}">
              <c16:uniqueId val="{00000001-F4AE-4BAB-A96E-5B58EDE13D50}"/>
            </c:ext>
          </c:extLst>
        </c:ser>
        <c:ser>
          <c:idx val="2"/>
          <c:order val="2"/>
          <c:tx>
            <c:strRef>
              <c:f>[0]!Capture3_Variable</c:f>
              <c:strCache>
                <c:ptCount val="1"/>
              </c:strCache>
              <c:extLst xmlns:c15="http://schemas.microsoft.com/office/drawing/2012/chart"/>
            </c:strRef>
          </c:tx>
          <c:spPr>
            <a:ln w="19050" cap="rnd">
              <a:solidFill>
                <a:srgbClr val="9966FF">
                  <a:alpha val="67000"/>
                </a:srgbClr>
              </a:solidFill>
              <a:round/>
            </a:ln>
            <a:effectLst/>
          </c:spPr>
          <c:marker>
            <c:symbol val="none"/>
          </c:marker>
          <c:xVal>
            <c:numRef>
              <c:f>[0]!Capture3_ElapsedTime</c:f>
              <c:numCache>
                <c:formatCode>General</c:formatCode>
                <c:ptCount val="2"/>
                <c:pt idx="0">
                  <c:v>0</c:v>
                </c:pt>
                <c:pt idx="1">
                  <c:v>1</c:v>
                </c:pt>
              </c:numCache>
            </c:numRef>
          </c:xVal>
          <c:yVal>
            <c:numRef>
              <c:f>[0]!Capture3_GPU0Temp</c:f>
              <c:numCache>
                <c:formatCode>General</c:formatCode>
                <c:ptCount val="2"/>
                <c:pt idx="0">
                  <c:v>0</c:v>
                </c:pt>
                <c:pt idx="1">
                  <c:v>0</c:v>
                </c:pt>
              </c:numCache>
            </c:numRef>
          </c:yVal>
          <c:smooth val="0"/>
          <c:extLst>
            <c:ext xmlns:c16="http://schemas.microsoft.com/office/drawing/2014/chart" uri="{C3380CC4-5D6E-409C-BE32-E72D297353CC}">
              <c16:uniqueId val="{00000002-F4AE-4BAB-A96E-5B58EDE13D50}"/>
            </c:ext>
          </c:extLst>
        </c:ser>
        <c:dLbls>
          <c:showLegendKey val="0"/>
          <c:showVal val="0"/>
          <c:showCatName val="0"/>
          <c:showSerName val="0"/>
          <c:showPercent val="0"/>
          <c:showBubbleSize val="0"/>
        </c:dLbls>
        <c:axId val="1054865904"/>
        <c:axId val="1054865248"/>
      </c:scatterChart>
      <c:valAx>
        <c:axId val="105486590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r>
                  <a:rPr lang="en-US" sz="1050" b="1"/>
                  <a:t>Time (Seconds)</a:t>
                </a:r>
              </a:p>
            </c:rich>
          </c:tx>
          <c:overlay val="0"/>
          <c:spPr>
            <a:noFill/>
            <a:ln>
              <a:noFill/>
            </a:ln>
            <a:effectLst/>
          </c:spPr>
          <c:txPr>
            <a:bodyPr rot="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75000"/>
                <a:lumOff val="2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4865248"/>
        <c:crosses val="autoZero"/>
        <c:crossBetween val="midCat"/>
      </c:valAx>
      <c:valAx>
        <c:axId val="105486524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r>
                  <a:rPr lang="en-US" sz="1050" b="1"/>
                  <a:t>Temperature (°C)</a:t>
                </a:r>
              </a:p>
            </c:rich>
          </c:tx>
          <c:overlay val="0"/>
          <c:spPr>
            <a:noFill/>
            <a:ln>
              <a:noFill/>
            </a:ln>
            <a:effectLst/>
          </c:spPr>
          <c:txPr>
            <a:bodyPr rot="-54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solidFill>
              <a:schemeClr val="tx1">
                <a:lumMod val="75000"/>
                <a:lumOff val="2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4865904"/>
        <c:crosses val="autoZero"/>
        <c:crossBetween val="midCat"/>
      </c:valAx>
      <c:spPr>
        <a:solidFill>
          <a:schemeClr val="bg1"/>
        </a:solidFill>
        <a:ln>
          <a:solidFill>
            <a:schemeClr val="tx1">
              <a:lumMod val="75000"/>
              <a:lumOff val="25000"/>
            </a:schemeClr>
          </a:solidFill>
        </a:ln>
        <a:effectLst/>
      </c:spPr>
    </c:plotArea>
    <c:legend>
      <c:legendPos val="t"/>
      <c:overlay val="0"/>
      <c:spPr>
        <a:solidFill>
          <a:schemeClr val="bg1"/>
        </a:solidFill>
        <a:ln>
          <a:solidFill>
            <a:schemeClr val="bg1">
              <a:lumMod val="50000"/>
            </a:schemeClr>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lumMod val="95000"/>
      </a:schemeClr>
    </a:solidFill>
    <a:ln w="9525" cap="flat" cmpd="sng" algn="ctr">
      <a:solidFill>
        <a:schemeClr val="tx1">
          <a:lumMod val="75000"/>
          <a:lumOff val="2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Backend!$B$28</c:f>
          <c:strCache>
            <c:ptCount val="1"/>
            <c:pt idx="0">
              <c:v>Render Queue Depth</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[0]!Capture1_Variable</c:f>
              <c:strCache>
                <c:ptCount val="1"/>
              </c:strCache>
            </c:strRef>
          </c:tx>
          <c:spPr>
            <a:ln w="12700" cap="rnd">
              <a:solidFill>
                <a:schemeClr val="tx1">
                  <a:lumMod val="85000"/>
                  <a:lumOff val="15000"/>
                  <a:alpha val="80000"/>
                </a:schemeClr>
              </a:solidFill>
              <a:round/>
            </a:ln>
            <a:effectLst/>
          </c:spPr>
          <c:marker>
            <c:symbol val="none"/>
          </c:marker>
          <c:xVal>
            <c:numRef>
              <c:f>[0]!Capture1_ElapsedTime</c:f>
              <c:numCache>
                <c:formatCode>General</c:formatCode>
                <c:ptCount val="2"/>
                <c:pt idx="0">
                  <c:v>0</c:v>
                </c:pt>
                <c:pt idx="1">
                  <c:v>1</c:v>
                </c:pt>
              </c:numCache>
            </c:numRef>
          </c:xVal>
          <c:yVal>
            <c:numRef>
              <c:f>[0]!Capture1_RenderQueue</c:f>
              <c:numCache>
                <c:formatCode>General</c:formatCode>
                <c:ptCount val="2"/>
                <c:pt idx="0">
                  <c:v>0</c:v>
                </c:pt>
                <c:pt idx="1">
                  <c:v>0</c:v>
                </c:pt>
              </c:numCache>
            </c:numRef>
          </c:yVal>
          <c:smooth val="0"/>
          <c:extLst>
            <c:ext xmlns:c16="http://schemas.microsoft.com/office/drawing/2014/chart" uri="{C3380CC4-5D6E-409C-BE32-E72D297353CC}">
              <c16:uniqueId val="{00000000-B085-4129-8936-38A9EA8E2600}"/>
            </c:ext>
          </c:extLst>
        </c:ser>
        <c:ser>
          <c:idx val="1"/>
          <c:order val="1"/>
          <c:tx>
            <c:strRef>
              <c:f>[0]!Capture2_Variable</c:f>
              <c:strCache>
                <c:ptCount val="1"/>
              </c:strCache>
              <c:extLst xmlns:c15="http://schemas.microsoft.com/office/drawing/2012/chart"/>
            </c:strRef>
          </c:tx>
          <c:spPr>
            <a:ln w="12700" cap="rnd">
              <a:solidFill>
                <a:srgbClr val="FFC000">
                  <a:alpha val="67000"/>
                </a:srgbClr>
              </a:solidFill>
              <a:round/>
            </a:ln>
            <a:effectLst/>
          </c:spPr>
          <c:marker>
            <c:symbol val="none"/>
          </c:marker>
          <c:xVal>
            <c:numRef>
              <c:f>[0]!Capture2_ElapsedTime</c:f>
              <c:numCache>
                <c:formatCode>General</c:formatCode>
                <c:ptCount val="2"/>
                <c:pt idx="0">
                  <c:v>0</c:v>
                </c:pt>
                <c:pt idx="1">
                  <c:v>1</c:v>
                </c:pt>
              </c:numCache>
            </c:numRef>
          </c:xVal>
          <c:yVal>
            <c:numRef>
              <c:f>[0]!Capture2_RenderQueue</c:f>
              <c:numCache>
                <c:formatCode>General</c:formatCode>
                <c:ptCount val="2"/>
                <c:pt idx="0">
                  <c:v>0</c:v>
                </c:pt>
                <c:pt idx="1">
                  <c:v>0</c:v>
                </c:pt>
              </c:numCache>
            </c:numRef>
          </c:yVal>
          <c:smooth val="0"/>
          <c:extLst>
            <c:ext xmlns:c16="http://schemas.microsoft.com/office/drawing/2014/chart" uri="{C3380CC4-5D6E-409C-BE32-E72D297353CC}">
              <c16:uniqueId val="{00000001-B085-4129-8936-38A9EA8E2600}"/>
            </c:ext>
          </c:extLst>
        </c:ser>
        <c:ser>
          <c:idx val="2"/>
          <c:order val="2"/>
          <c:tx>
            <c:strRef>
              <c:f>[0]!Capture3_Variable</c:f>
              <c:strCache>
                <c:ptCount val="1"/>
              </c:strCache>
              <c:extLst xmlns:c15="http://schemas.microsoft.com/office/drawing/2012/chart"/>
            </c:strRef>
          </c:tx>
          <c:spPr>
            <a:ln w="12700" cap="rnd">
              <a:solidFill>
                <a:srgbClr val="9966FF">
                  <a:alpha val="67000"/>
                </a:srgbClr>
              </a:solidFill>
              <a:round/>
            </a:ln>
            <a:effectLst/>
          </c:spPr>
          <c:marker>
            <c:symbol val="none"/>
          </c:marker>
          <c:xVal>
            <c:numRef>
              <c:f>[0]!Capture3_ElapsedTime</c:f>
              <c:numCache>
                <c:formatCode>General</c:formatCode>
                <c:ptCount val="2"/>
                <c:pt idx="0">
                  <c:v>0</c:v>
                </c:pt>
                <c:pt idx="1">
                  <c:v>1</c:v>
                </c:pt>
              </c:numCache>
            </c:numRef>
          </c:xVal>
          <c:yVal>
            <c:numRef>
              <c:f>[0]!Capture3_RenderQueue</c:f>
              <c:numCache>
                <c:formatCode>General</c:formatCode>
                <c:ptCount val="2"/>
                <c:pt idx="0">
                  <c:v>0</c:v>
                </c:pt>
                <c:pt idx="1">
                  <c:v>0</c:v>
                </c:pt>
              </c:numCache>
            </c:numRef>
          </c:yVal>
          <c:smooth val="0"/>
          <c:extLst>
            <c:ext xmlns:c16="http://schemas.microsoft.com/office/drawing/2014/chart" uri="{C3380CC4-5D6E-409C-BE32-E72D297353CC}">
              <c16:uniqueId val="{00000002-B085-4129-8936-38A9EA8E2600}"/>
            </c:ext>
          </c:extLst>
        </c:ser>
        <c:dLbls>
          <c:showLegendKey val="0"/>
          <c:showVal val="0"/>
          <c:showCatName val="0"/>
          <c:showSerName val="0"/>
          <c:showPercent val="0"/>
          <c:showBubbleSize val="0"/>
        </c:dLbls>
        <c:axId val="1054865904"/>
        <c:axId val="1054865248"/>
      </c:scatterChart>
      <c:valAx>
        <c:axId val="105486590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r>
                  <a:rPr lang="en-US" sz="1050" b="1"/>
                  <a:t>Time (Seconds)</a:t>
                </a:r>
              </a:p>
            </c:rich>
          </c:tx>
          <c:overlay val="0"/>
          <c:spPr>
            <a:noFill/>
            <a:ln>
              <a:noFill/>
            </a:ln>
            <a:effectLst/>
          </c:spPr>
          <c:txPr>
            <a:bodyPr rot="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75000"/>
                <a:lumOff val="2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4865248"/>
        <c:crosses val="autoZero"/>
        <c:crossBetween val="midCat"/>
      </c:valAx>
      <c:valAx>
        <c:axId val="105486524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r>
                  <a:rPr lang="en-US" sz="1050" b="1"/>
                  <a:t>Render Queue Depth (# frames)</a:t>
                </a:r>
              </a:p>
            </c:rich>
          </c:tx>
          <c:overlay val="0"/>
          <c:spPr>
            <a:noFill/>
            <a:ln>
              <a:noFill/>
            </a:ln>
            <a:effectLst/>
          </c:spPr>
          <c:txPr>
            <a:bodyPr rot="-54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solidFill>
              <a:schemeClr val="tx1">
                <a:lumMod val="75000"/>
                <a:lumOff val="2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4865904"/>
        <c:crosses val="autoZero"/>
        <c:crossBetween val="midCat"/>
      </c:valAx>
      <c:spPr>
        <a:solidFill>
          <a:schemeClr val="bg1"/>
        </a:solidFill>
        <a:ln>
          <a:solidFill>
            <a:schemeClr val="tx1">
              <a:lumMod val="75000"/>
              <a:lumOff val="25000"/>
            </a:schemeClr>
          </a:solidFill>
        </a:ln>
        <a:effectLst/>
      </c:spPr>
    </c:plotArea>
    <c:legend>
      <c:legendPos val="t"/>
      <c:overlay val="0"/>
      <c:spPr>
        <a:solidFill>
          <a:schemeClr val="bg1"/>
        </a:solidFill>
        <a:ln>
          <a:solidFill>
            <a:schemeClr val="bg1">
              <a:lumMod val="50000"/>
            </a:schemeClr>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lumMod val="95000"/>
      </a:schemeClr>
    </a:solidFill>
    <a:ln w="9525" cap="flat" cmpd="sng" algn="ctr">
      <a:solidFill>
        <a:schemeClr val="tx1">
          <a:lumMod val="75000"/>
          <a:lumOff val="2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Backend!$B$30</c:f>
          <c:strCache>
            <c:ptCount val="1"/>
            <c:pt idx="0">
              <c:v>CPU Clock</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[0]!Capture1_Variable</c:f>
              <c:strCache>
                <c:ptCount val="1"/>
              </c:strCache>
            </c:strRef>
          </c:tx>
          <c:spPr>
            <a:ln w="19050" cap="rnd">
              <a:solidFill>
                <a:schemeClr val="tx1">
                  <a:lumMod val="85000"/>
                  <a:lumOff val="15000"/>
                  <a:alpha val="80000"/>
                </a:schemeClr>
              </a:solidFill>
              <a:round/>
            </a:ln>
            <a:effectLst/>
          </c:spPr>
          <c:marker>
            <c:symbol val="none"/>
          </c:marker>
          <c:xVal>
            <c:numRef>
              <c:f>[0]!Capture1_ElapsedTime</c:f>
              <c:numCache>
                <c:formatCode>General</c:formatCode>
                <c:ptCount val="2"/>
                <c:pt idx="0">
                  <c:v>0</c:v>
                </c:pt>
                <c:pt idx="1">
                  <c:v>1</c:v>
                </c:pt>
              </c:numCache>
            </c:numRef>
          </c:xVal>
          <c:yVal>
            <c:numRef>
              <c:f>[0]!Capture1_CPUClock</c:f>
              <c:numCache>
                <c:formatCode>General</c:formatCode>
                <c:ptCount val="2"/>
                <c:pt idx="0">
                  <c:v>0</c:v>
                </c:pt>
                <c:pt idx="1">
                  <c:v>0</c:v>
                </c:pt>
              </c:numCache>
            </c:numRef>
          </c:yVal>
          <c:smooth val="0"/>
          <c:extLst>
            <c:ext xmlns:c16="http://schemas.microsoft.com/office/drawing/2014/chart" uri="{C3380CC4-5D6E-409C-BE32-E72D297353CC}">
              <c16:uniqueId val="{00000000-A318-41DB-8AD8-E24767C36146}"/>
            </c:ext>
          </c:extLst>
        </c:ser>
        <c:ser>
          <c:idx val="1"/>
          <c:order val="1"/>
          <c:tx>
            <c:strRef>
              <c:f>[0]!Capture2_Variable</c:f>
              <c:strCache>
                <c:ptCount val="1"/>
              </c:strCache>
              <c:extLst xmlns:c15="http://schemas.microsoft.com/office/drawing/2012/chart"/>
            </c:strRef>
          </c:tx>
          <c:spPr>
            <a:ln w="19050" cap="rnd">
              <a:solidFill>
                <a:srgbClr val="FFC000">
                  <a:alpha val="67000"/>
                </a:srgbClr>
              </a:solidFill>
              <a:round/>
            </a:ln>
            <a:effectLst/>
          </c:spPr>
          <c:marker>
            <c:symbol val="none"/>
          </c:marker>
          <c:xVal>
            <c:numRef>
              <c:f>[0]!Capture2_ElapsedTime</c:f>
              <c:numCache>
                <c:formatCode>General</c:formatCode>
                <c:ptCount val="2"/>
                <c:pt idx="0">
                  <c:v>0</c:v>
                </c:pt>
                <c:pt idx="1">
                  <c:v>1</c:v>
                </c:pt>
              </c:numCache>
            </c:numRef>
          </c:xVal>
          <c:yVal>
            <c:numRef>
              <c:f>[0]!Capture2_CPUClock</c:f>
              <c:numCache>
                <c:formatCode>General</c:formatCode>
                <c:ptCount val="2"/>
                <c:pt idx="0">
                  <c:v>0</c:v>
                </c:pt>
                <c:pt idx="1">
                  <c:v>0</c:v>
                </c:pt>
              </c:numCache>
            </c:numRef>
          </c:yVal>
          <c:smooth val="0"/>
          <c:extLst>
            <c:ext xmlns:c16="http://schemas.microsoft.com/office/drawing/2014/chart" uri="{C3380CC4-5D6E-409C-BE32-E72D297353CC}">
              <c16:uniqueId val="{00000001-A318-41DB-8AD8-E24767C36146}"/>
            </c:ext>
          </c:extLst>
        </c:ser>
        <c:ser>
          <c:idx val="2"/>
          <c:order val="2"/>
          <c:tx>
            <c:strRef>
              <c:f>[0]!Capture3_Variable</c:f>
              <c:strCache>
                <c:ptCount val="1"/>
              </c:strCache>
              <c:extLst xmlns:c15="http://schemas.microsoft.com/office/drawing/2012/chart"/>
            </c:strRef>
          </c:tx>
          <c:spPr>
            <a:ln w="19050" cap="rnd">
              <a:solidFill>
                <a:srgbClr val="9966FF">
                  <a:alpha val="67000"/>
                </a:srgbClr>
              </a:solidFill>
              <a:round/>
            </a:ln>
            <a:effectLst/>
          </c:spPr>
          <c:marker>
            <c:symbol val="none"/>
          </c:marker>
          <c:xVal>
            <c:numRef>
              <c:f>[0]!Capture3_ElapsedTime</c:f>
              <c:numCache>
                <c:formatCode>General</c:formatCode>
                <c:ptCount val="2"/>
                <c:pt idx="0">
                  <c:v>0</c:v>
                </c:pt>
                <c:pt idx="1">
                  <c:v>1</c:v>
                </c:pt>
              </c:numCache>
            </c:numRef>
          </c:xVal>
          <c:yVal>
            <c:numRef>
              <c:f>[0]!Capture3_CPUClock</c:f>
              <c:numCache>
                <c:formatCode>General</c:formatCode>
                <c:ptCount val="2"/>
                <c:pt idx="0">
                  <c:v>0</c:v>
                </c:pt>
                <c:pt idx="1">
                  <c:v>0</c:v>
                </c:pt>
              </c:numCache>
            </c:numRef>
          </c:yVal>
          <c:smooth val="0"/>
          <c:extLst>
            <c:ext xmlns:c16="http://schemas.microsoft.com/office/drawing/2014/chart" uri="{C3380CC4-5D6E-409C-BE32-E72D297353CC}">
              <c16:uniqueId val="{00000002-A318-41DB-8AD8-E24767C36146}"/>
            </c:ext>
          </c:extLst>
        </c:ser>
        <c:dLbls>
          <c:showLegendKey val="0"/>
          <c:showVal val="0"/>
          <c:showCatName val="0"/>
          <c:showSerName val="0"/>
          <c:showPercent val="0"/>
          <c:showBubbleSize val="0"/>
        </c:dLbls>
        <c:axId val="1054865904"/>
        <c:axId val="1054865248"/>
      </c:scatterChart>
      <c:valAx>
        <c:axId val="105486590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r>
                  <a:rPr lang="en-US" sz="1050" b="1"/>
                  <a:t>Time (Seconds)</a:t>
                </a:r>
              </a:p>
            </c:rich>
          </c:tx>
          <c:overlay val="0"/>
          <c:spPr>
            <a:noFill/>
            <a:ln>
              <a:noFill/>
            </a:ln>
            <a:effectLst/>
          </c:spPr>
          <c:txPr>
            <a:bodyPr rot="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75000"/>
                <a:lumOff val="2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4865248"/>
        <c:crosses val="autoZero"/>
        <c:crossBetween val="midCat"/>
      </c:valAx>
      <c:valAx>
        <c:axId val="105486524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r>
                  <a:rPr lang="en-US" sz="1050" b="1"/>
                  <a:t>CPU Frequency (MHz)</a:t>
                </a:r>
              </a:p>
            </c:rich>
          </c:tx>
          <c:overlay val="0"/>
          <c:spPr>
            <a:noFill/>
            <a:ln>
              <a:noFill/>
            </a:ln>
            <a:effectLst/>
          </c:spPr>
          <c:txPr>
            <a:bodyPr rot="-54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solidFill>
              <a:schemeClr val="tx1">
                <a:lumMod val="75000"/>
                <a:lumOff val="2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4865904"/>
        <c:crosses val="autoZero"/>
        <c:crossBetween val="midCat"/>
      </c:valAx>
      <c:spPr>
        <a:solidFill>
          <a:schemeClr val="bg1"/>
        </a:solidFill>
        <a:ln>
          <a:solidFill>
            <a:schemeClr val="tx1">
              <a:lumMod val="75000"/>
              <a:lumOff val="25000"/>
            </a:schemeClr>
          </a:solidFill>
        </a:ln>
        <a:effectLst/>
      </c:spPr>
    </c:plotArea>
    <c:legend>
      <c:legendPos val="t"/>
      <c:overlay val="0"/>
      <c:spPr>
        <a:solidFill>
          <a:schemeClr val="bg1"/>
        </a:solidFill>
        <a:ln>
          <a:solidFill>
            <a:schemeClr val="bg1">
              <a:lumMod val="50000"/>
            </a:schemeClr>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lumMod val="95000"/>
      </a:schemeClr>
    </a:solidFill>
    <a:ln w="9525" cap="flat" cmpd="sng" algn="ctr">
      <a:solidFill>
        <a:schemeClr val="tx1">
          <a:lumMod val="75000"/>
          <a:lumOff val="2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Backend!$B$32</c:f>
          <c:strCache>
            <c:ptCount val="1"/>
            <c:pt idx="0">
              <c:v>CPU Temperature</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[0]!Capture1_Variable</c:f>
              <c:strCache>
                <c:ptCount val="1"/>
              </c:strCache>
            </c:strRef>
          </c:tx>
          <c:spPr>
            <a:ln w="19050" cap="rnd">
              <a:solidFill>
                <a:schemeClr val="tx1">
                  <a:lumMod val="85000"/>
                  <a:lumOff val="15000"/>
                  <a:alpha val="80000"/>
                </a:schemeClr>
              </a:solidFill>
              <a:round/>
            </a:ln>
            <a:effectLst/>
          </c:spPr>
          <c:marker>
            <c:symbol val="none"/>
          </c:marker>
          <c:xVal>
            <c:numRef>
              <c:f>[0]!Capture1_ElapsedTime</c:f>
              <c:numCache>
                <c:formatCode>General</c:formatCode>
                <c:ptCount val="2"/>
                <c:pt idx="0">
                  <c:v>0</c:v>
                </c:pt>
                <c:pt idx="1">
                  <c:v>1</c:v>
                </c:pt>
              </c:numCache>
            </c:numRef>
          </c:xVal>
          <c:yVal>
            <c:numRef>
              <c:f>[0]!Capture1_CPUTemp</c:f>
              <c:numCache>
                <c:formatCode>General</c:formatCode>
                <c:ptCount val="2"/>
                <c:pt idx="0">
                  <c:v>0</c:v>
                </c:pt>
                <c:pt idx="1">
                  <c:v>0</c:v>
                </c:pt>
              </c:numCache>
            </c:numRef>
          </c:yVal>
          <c:smooth val="0"/>
          <c:extLst>
            <c:ext xmlns:c16="http://schemas.microsoft.com/office/drawing/2014/chart" uri="{C3380CC4-5D6E-409C-BE32-E72D297353CC}">
              <c16:uniqueId val="{00000000-A53D-41A2-A86D-E43E7B81D742}"/>
            </c:ext>
          </c:extLst>
        </c:ser>
        <c:ser>
          <c:idx val="1"/>
          <c:order val="1"/>
          <c:tx>
            <c:strRef>
              <c:f>[0]!Capture2_Variable</c:f>
              <c:strCache>
                <c:ptCount val="1"/>
              </c:strCache>
              <c:extLst xmlns:c15="http://schemas.microsoft.com/office/drawing/2012/chart"/>
            </c:strRef>
          </c:tx>
          <c:spPr>
            <a:ln w="19050" cap="rnd">
              <a:solidFill>
                <a:srgbClr val="FFC000">
                  <a:alpha val="67000"/>
                </a:srgbClr>
              </a:solidFill>
              <a:round/>
            </a:ln>
            <a:effectLst/>
          </c:spPr>
          <c:marker>
            <c:symbol val="none"/>
          </c:marker>
          <c:xVal>
            <c:numRef>
              <c:f>[0]!Capture2_ElapsedTime</c:f>
              <c:numCache>
                <c:formatCode>General</c:formatCode>
                <c:ptCount val="2"/>
                <c:pt idx="0">
                  <c:v>0</c:v>
                </c:pt>
                <c:pt idx="1">
                  <c:v>1</c:v>
                </c:pt>
              </c:numCache>
            </c:numRef>
          </c:xVal>
          <c:yVal>
            <c:numRef>
              <c:f>[0]!Capture2_CPUTemp</c:f>
              <c:numCache>
                <c:formatCode>General</c:formatCode>
                <c:ptCount val="2"/>
                <c:pt idx="0">
                  <c:v>0</c:v>
                </c:pt>
                <c:pt idx="1">
                  <c:v>0</c:v>
                </c:pt>
              </c:numCache>
            </c:numRef>
          </c:yVal>
          <c:smooth val="0"/>
          <c:extLst>
            <c:ext xmlns:c16="http://schemas.microsoft.com/office/drawing/2014/chart" uri="{C3380CC4-5D6E-409C-BE32-E72D297353CC}">
              <c16:uniqueId val="{00000001-A53D-41A2-A86D-E43E7B81D742}"/>
            </c:ext>
          </c:extLst>
        </c:ser>
        <c:ser>
          <c:idx val="2"/>
          <c:order val="2"/>
          <c:tx>
            <c:strRef>
              <c:f>[0]!Capture3_Variable</c:f>
              <c:strCache>
                <c:ptCount val="1"/>
              </c:strCache>
              <c:extLst xmlns:c15="http://schemas.microsoft.com/office/drawing/2012/chart"/>
            </c:strRef>
          </c:tx>
          <c:spPr>
            <a:ln w="19050" cap="rnd">
              <a:solidFill>
                <a:srgbClr val="9966FF">
                  <a:alpha val="67000"/>
                </a:srgbClr>
              </a:solidFill>
              <a:round/>
            </a:ln>
            <a:effectLst/>
          </c:spPr>
          <c:marker>
            <c:symbol val="none"/>
          </c:marker>
          <c:xVal>
            <c:numRef>
              <c:f>[0]!Capture3_ElapsedTime</c:f>
              <c:numCache>
                <c:formatCode>General</c:formatCode>
                <c:ptCount val="2"/>
                <c:pt idx="0">
                  <c:v>0</c:v>
                </c:pt>
                <c:pt idx="1">
                  <c:v>1</c:v>
                </c:pt>
              </c:numCache>
            </c:numRef>
          </c:xVal>
          <c:yVal>
            <c:numRef>
              <c:f>[0]!Capture3_CPUTemp</c:f>
              <c:numCache>
                <c:formatCode>General</c:formatCode>
                <c:ptCount val="2"/>
                <c:pt idx="0">
                  <c:v>0</c:v>
                </c:pt>
                <c:pt idx="1">
                  <c:v>0</c:v>
                </c:pt>
              </c:numCache>
            </c:numRef>
          </c:yVal>
          <c:smooth val="0"/>
          <c:extLst>
            <c:ext xmlns:c16="http://schemas.microsoft.com/office/drawing/2014/chart" uri="{C3380CC4-5D6E-409C-BE32-E72D297353CC}">
              <c16:uniqueId val="{00000002-A53D-41A2-A86D-E43E7B81D742}"/>
            </c:ext>
          </c:extLst>
        </c:ser>
        <c:dLbls>
          <c:showLegendKey val="0"/>
          <c:showVal val="0"/>
          <c:showCatName val="0"/>
          <c:showSerName val="0"/>
          <c:showPercent val="0"/>
          <c:showBubbleSize val="0"/>
        </c:dLbls>
        <c:axId val="1054865904"/>
        <c:axId val="1054865248"/>
      </c:scatterChart>
      <c:valAx>
        <c:axId val="105486590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r>
                  <a:rPr lang="en-US" sz="1050" b="1"/>
                  <a:t>Time (Seconds)</a:t>
                </a:r>
              </a:p>
            </c:rich>
          </c:tx>
          <c:overlay val="0"/>
          <c:spPr>
            <a:noFill/>
            <a:ln>
              <a:noFill/>
            </a:ln>
            <a:effectLst/>
          </c:spPr>
          <c:txPr>
            <a:bodyPr rot="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75000"/>
                <a:lumOff val="2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4865248"/>
        <c:crosses val="autoZero"/>
        <c:crossBetween val="midCat"/>
      </c:valAx>
      <c:valAx>
        <c:axId val="105486524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r>
                  <a:rPr lang="en-US" sz="1050" b="1"/>
                  <a:t>Temperature (°C)</a:t>
                </a:r>
              </a:p>
            </c:rich>
          </c:tx>
          <c:overlay val="0"/>
          <c:spPr>
            <a:noFill/>
            <a:ln>
              <a:noFill/>
            </a:ln>
            <a:effectLst/>
          </c:spPr>
          <c:txPr>
            <a:bodyPr rot="-54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solidFill>
              <a:schemeClr val="tx1">
                <a:lumMod val="75000"/>
                <a:lumOff val="2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4865904"/>
        <c:crosses val="autoZero"/>
        <c:crossBetween val="midCat"/>
      </c:valAx>
      <c:spPr>
        <a:solidFill>
          <a:schemeClr val="bg1"/>
        </a:solidFill>
        <a:ln>
          <a:solidFill>
            <a:schemeClr val="tx1">
              <a:lumMod val="75000"/>
              <a:lumOff val="25000"/>
            </a:schemeClr>
          </a:solidFill>
        </a:ln>
        <a:effectLst/>
      </c:spPr>
    </c:plotArea>
    <c:legend>
      <c:legendPos val="t"/>
      <c:overlay val="0"/>
      <c:spPr>
        <a:solidFill>
          <a:schemeClr val="bg1"/>
        </a:solidFill>
        <a:ln>
          <a:solidFill>
            <a:schemeClr val="bg1">
              <a:lumMod val="50000"/>
            </a:schemeClr>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lumMod val="95000"/>
      </a:schemeClr>
    </a:solidFill>
    <a:ln w="9525" cap="flat" cmpd="sng" algn="ctr">
      <a:solidFill>
        <a:schemeClr val="tx1">
          <a:lumMod val="75000"/>
          <a:lumOff val="2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Backend!$B$21</c:f>
          <c:strCache>
            <c:ptCount val="1"/>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PCAT</c:v>
          </c:tx>
          <c:spPr>
            <a:ln w="12700" cap="rnd">
              <a:solidFill>
                <a:schemeClr val="tx1">
                  <a:lumMod val="85000"/>
                  <a:lumOff val="15000"/>
                  <a:alpha val="80000"/>
                </a:schemeClr>
              </a:solidFill>
              <a:round/>
            </a:ln>
            <a:effectLst/>
          </c:spPr>
          <c:marker>
            <c:symbol val="none"/>
          </c:marker>
          <c:xVal>
            <c:numRef>
              <c:f>[0]!Capture1_ElapsedTime</c:f>
              <c:numCache>
                <c:formatCode>General</c:formatCode>
                <c:ptCount val="2"/>
                <c:pt idx="0">
                  <c:v>0</c:v>
                </c:pt>
                <c:pt idx="1">
                  <c:v>1</c:v>
                </c:pt>
              </c:numCache>
            </c:numRef>
          </c:xVal>
          <c:yVal>
            <c:numRef>
              <c:f>[0]!Capture1_Power_PCAT</c:f>
              <c:numCache>
                <c:formatCode>General</c:formatCode>
                <c:ptCount val="2"/>
                <c:pt idx="0">
                  <c:v>0</c:v>
                </c:pt>
                <c:pt idx="1">
                  <c:v>0</c:v>
                </c:pt>
              </c:numCache>
            </c:numRef>
          </c:yVal>
          <c:smooth val="0"/>
          <c:extLst>
            <c:ext xmlns:c16="http://schemas.microsoft.com/office/drawing/2014/chart" uri="{C3380CC4-5D6E-409C-BE32-E72D297353CC}">
              <c16:uniqueId val="{00000000-3BBB-494E-AE79-737CE6745D75}"/>
            </c:ext>
          </c:extLst>
        </c:ser>
        <c:dLbls>
          <c:showLegendKey val="0"/>
          <c:showVal val="0"/>
          <c:showCatName val="0"/>
          <c:showSerName val="0"/>
          <c:showPercent val="0"/>
          <c:showBubbleSize val="0"/>
        </c:dLbls>
        <c:axId val="1054865904"/>
        <c:axId val="1054865248"/>
      </c:scatterChart>
      <c:scatterChart>
        <c:scatterStyle val="lineMarker"/>
        <c:varyColors val="0"/>
        <c:ser>
          <c:idx val="1"/>
          <c:order val="1"/>
          <c:tx>
            <c:v>API</c:v>
          </c:tx>
          <c:spPr>
            <a:ln w="19050" cap="rnd">
              <a:solidFill>
                <a:schemeClr val="tx1">
                  <a:lumMod val="50000"/>
                  <a:lumOff val="50000"/>
                  <a:alpha val="67000"/>
                </a:schemeClr>
              </a:solidFill>
              <a:round/>
            </a:ln>
            <a:effectLst/>
          </c:spPr>
          <c:marker>
            <c:symbol val="none"/>
          </c:marker>
          <c:xVal>
            <c:numRef>
              <c:f>[0]!Capture1_ElapsedTime</c:f>
              <c:numCache>
                <c:formatCode>General</c:formatCode>
                <c:ptCount val="2"/>
                <c:pt idx="0">
                  <c:v>0</c:v>
                </c:pt>
                <c:pt idx="1">
                  <c:v>1</c:v>
                </c:pt>
              </c:numCache>
            </c:numRef>
          </c:xVal>
          <c:yVal>
            <c:numRef>
              <c:f>[0]!Capture1_Power_API</c:f>
              <c:numCache>
                <c:formatCode>General</c:formatCode>
                <c:ptCount val="2"/>
                <c:pt idx="0">
                  <c:v>0</c:v>
                </c:pt>
                <c:pt idx="1">
                  <c:v>0</c:v>
                </c:pt>
              </c:numCache>
            </c:numRef>
          </c:yVal>
          <c:smooth val="0"/>
          <c:extLst>
            <c:ext xmlns:c16="http://schemas.microsoft.com/office/drawing/2014/chart" uri="{C3380CC4-5D6E-409C-BE32-E72D297353CC}">
              <c16:uniqueId val="{00000001-3BBB-494E-AE79-737CE6745D75}"/>
            </c:ext>
          </c:extLst>
        </c:ser>
        <c:dLbls>
          <c:showLegendKey val="0"/>
          <c:showVal val="0"/>
          <c:showCatName val="0"/>
          <c:showSerName val="0"/>
          <c:showPercent val="0"/>
          <c:showBubbleSize val="0"/>
        </c:dLbls>
        <c:axId val="1054897392"/>
        <c:axId val="1054897064"/>
      </c:scatterChart>
      <c:valAx>
        <c:axId val="10548659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75000"/>
                <a:lumOff val="2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4865248"/>
        <c:crosses val="autoZero"/>
        <c:crossBetween val="midCat"/>
      </c:valAx>
      <c:valAx>
        <c:axId val="105486524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r>
                  <a:rPr lang="en-US" sz="1050" b="1"/>
                  <a:t>Power Consumption (W)</a:t>
                </a:r>
              </a:p>
            </c:rich>
          </c:tx>
          <c:layout/>
          <c:overlay val="0"/>
          <c:spPr>
            <a:noFill/>
            <a:ln>
              <a:noFill/>
            </a:ln>
            <a:effectLst/>
          </c:spPr>
          <c:txPr>
            <a:bodyPr rot="-54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solidFill>
              <a:schemeClr val="tx1">
                <a:lumMod val="75000"/>
                <a:lumOff val="2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4865904"/>
        <c:crosses val="autoZero"/>
        <c:crossBetween val="midCat"/>
      </c:valAx>
      <c:valAx>
        <c:axId val="1054897064"/>
        <c:scaling>
          <c:orientation val="minMax"/>
          <c:min val="0"/>
        </c:scaling>
        <c:delete val="1"/>
        <c:axPos val="r"/>
        <c:numFmt formatCode="General" sourceLinked="1"/>
        <c:majorTickMark val="out"/>
        <c:minorTickMark val="none"/>
        <c:tickLblPos val="nextTo"/>
        <c:crossAx val="1054897392"/>
        <c:crosses val="max"/>
        <c:crossBetween val="midCat"/>
      </c:valAx>
      <c:valAx>
        <c:axId val="1054897392"/>
        <c:scaling>
          <c:orientation val="minMax"/>
        </c:scaling>
        <c:delete val="1"/>
        <c:axPos val="b"/>
        <c:title>
          <c:tx>
            <c:rich>
              <a:bodyPr rot="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r>
                  <a:rPr lang="en-US" sz="1050" b="1"/>
                  <a:t>Time (Seconds)</a:t>
                </a:r>
              </a:p>
            </c:rich>
          </c:tx>
          <c:layout/>
          <c:overlay val="0"/>
          <c:spPr>
            <a:noFill/>
            <a:ln>
              <a:noFill/>
            </a:ln>
            <a:effectLst/>
          </c:spPr>
          <c:txPr>
            <a:bodyPr rot="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crossAx val="1054897064"/>
        <c:crosses val="autoZero"/>
        <c:crossBetween val="midCat"/>
      </c:valAx>
      <c:spPr>
        <a:solidFill>
          <a:schemeClr val="bg1"/>
        </a:solidFill>
        <a:ln>
          <a:solidFill>
            <a:schemeClr val="tx1">
              <a:lumMod val="75000"/>
              <a:lumOff val="25000"/>
            </a:schemeClr>
          </a:solidFill>
        </a:ln>
        <a:effectLst/>
      </c:spPr>
    </c:plotArea>
    <c:legend>
      <c:legendPos val="t"/>
      <c:layout/>
      <c:overlay val="0"/>
      <c:spPr>
        <a:solidFill>
          <a:schemeClr val="bg1"/>
        </a:solidFill>
        <a:ln>
          <a:solidFill>
            <a:schemeClr val="bg1">
              <a:lumMod val="50000"/>
            </a:schemeClr>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lumMod val="95000"/>
      </a:schemeClr>
    </a:solidFill>
    <a:ln w="9525" cap="flat" cmpd="sng" algn="ctr">
      <a:solidFill>
        <a:schemeClr val="tx1">
          <a:lumMod val="75000"/>
          <a:lumOff val="2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Backend!$B$22</c:f>
          <c:strCache>
            <c:ptCount val="1"/>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PCAT</c:v>
          </c:tx>
          <c:spPr>
            <a:ln w="12700" cap="rnd">
              <a:solidFill>
                <a:schemeClr val="tx1">
                  <a:lumMod val="85000"/>
                  <a:lumOff val="15000"/>
                  <a:alpha val="80000"/>
                </a:schemeClr>
              </a:solidFill>
              <a:round/>
            </a:ln>
            <a:effectLst/>
          </c:spPr>
          <c:marker>
            <c:symbol val="none"/>
          </c:marker>
          <c:xVal>
            <c:numRef>
              <c:f>[0]!Capture2_ElapsedTime</c:f>
              <c:numCache>
                <c:formatCode>General</c:formatCode>
                <c:ptCount val="2"/>
                <c:pt idx="0">
                  <c:v>0</c:v>
                </c:pt>
                <c:pt idx="1">
                  <c:v>1</c:v>
                </c:pt>
              </c:numCache>
            </c:numRef>
          </c:xVal>
          <c:yVal>
            <c:numRef>
              <c:f>[0]!Capture2_Power_PCAT</c:f>
              <c:numCache>
                <c:formatCode>General</c:formatCode>
                <c:ptCount val="2"/>
                <c:pt idx="0">
                  <c:v>0</c:v>
                </c:pt>
                <c:pt idx="1">
                  <c:v>0</c:v>
                </c:pt>
              </c:numCache>
            </c:numRef>
          </c:yVal>
          <c:smooth val="0"/>
          <c:extLst>
            <c:ext xmlns:c16="http://schemas.microsoft.com/office/drawing/2014/chart" uri="{C3380CC4-5D6E-409C-BE32-E72D297353CC}">
              <c16:uniqueId val="{00000000-96F6-4C39-9CB2-2B9518CC7ACD}"/>
            </c:ext>
          </c:extLst>
        </c:ser>
        <c:dLbls>
          <c:showLegendKey val="0"/>
          <c:showVal val="0"/>
          <c:showCatName val="0"/>
          <c:showSerName val="0"/>
          <c:showPercent val="0"/>
          <c:showBubbleSize val="0"/>
        </c:dLbls>
        <c:axId val="1054865904"/>
        <c:axId val="1054865248"/>
      </c:scatterChart>
      <c:scatterChart>
        <c:scatterStyle val="lineMarker"/>
        <c:varyColors val="0"/>
        <c:ser>
          <c:idx val="1"/>
          <c:order val="1"/>
          <c:tx>
            <c:v>API</c:v>
          </c:tx>
          <c:spPr>
            <a:ln w="19050" cap="rnd">
              <a:solidFill>
                <a:srgbClr val="FFC000">
                  <a:alpha val="67000"/>
                </a:srgbClr>
              </a:solidFill>
              <a:round/>
            </a:ln>
            <a:effectLst/>
          </c:spPr>
          <c:marker>
            <c:symbol val="none"/>
          </c:marker>
          <c:xVal>
            <c:numRef>
              <c:f>[0]!Capture2_ElapsedTime</c:f>
              <c:numCache>
                <c:formatCode>General</c:formatCode>
                <c:ptCount val="2"/>
                <c:pt idx="0">
                  <c:v>0</c:v>
                </c:pt>
                <c:pt idx="1">
                  <c:v>1</c:v>
                </c:pt>
              </c:numCache>
            </c:numRef>
          </c:xVal>
          <c:yVal>
            <c:numRef>
              <c:f>[0]!Capture2_Power_API</c:f>
              <c:numCache>
                <c:formatCode>General</c:formatCode>
                <c:ptCount val="2"/>
                <c:pt idx="0">
                  <c:v>0</c:v>
                </c:pt>
                <c:pt idx="1">
                  <c:v>0</c:v>
                </c:pt>
              </c:numCache>
            </c:numRef>
          </c:yVal>
          <c:smooth val="0"/>
          <c:extLst>
            <c:ext xmlns:c16="http://schemas.microsoft.com/office/drawing/2014/chart" uri="{C3380CC4-5D6E-409C-BE32-E72D297353CC}">
              <c16:uniqueId val="{00000001-96F6-4C39-9CB2-2B9518CC7ACD}"/>
            </c:ext>
          </c:extLst>
        </c:ser>
        <c:dLbls>
          <c:showLegendKey val="0"/>
          <c:showVal val="0"/>
          <c:showCatName val="0"/>
          <c:showSerName val="0"/>
          <c:showPercent val="0"/>
          <c:showBubbleSize val="0"/>
        </c:dLbls>
        <c:axId val="1054897392"/>
        <c:axId val="1054897064"/>
      </c:scatterChart>
      <c:valAx>
        <c:axId val="10548659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75000"/>
                <a:lumOff val="2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4865248"/>
        <c:crosses val="autoZero"/>
        <c:crossBetween val="midCat"/>
      </c:valAx>
      <c:valAx>
        <c:axId val="105486524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r>
                  <a:rPr lang="en-US" sz="1050" b="1"/>
                  <a:t>Power Consumption (W)</a:t>
                </a:r>
              </a:p>
            </c:rich>
          </c:tx>
          <c:layout/>
          <c:overlay val="0"/>
          <c:spPr>
            <a:noFill/>
            <a:ln>
              <a:noFill/>
            </a:ln>
            <a:effectLst/>
          </c:spPr>
          <c:txPr>
            <a:bodyPr rot="-54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solidFill>
              <a:schemeClr val="tx1">
                <a:lumMod val="75000"/>
                <a:lumOff val="2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4865904"/>
        <c:crosses val="autoZero"/>
        <c:crossBetween val="midCat"/>
      </c:valAx>
      <c:valAx>
        <c:axId val="1054897064"/>
        <c:scaling>
          <c:orientation val="minMax"/>
          <c:min val="0"/>
        </c:scaling>
        <c:delete val="1"/>
        <c:axPos val="r"/>
        <c:numFmt formatCode="General" sourceLinked="1"/>
        <c:majorTickMark val="out"/>
        <c:minorTickMark val="none"/>
        <c:tickLblPos val="nextTo"/>
        <c:crossAx val="1054897392"/>
        <c:crosses val="max"/>
        <c:crossBetween val="midCat"/>
      </c:valAx>
      <c:valAx>
        <c:axId val="1054897392"/>
        <c:scaling>
          <c:orientation val="minMax"/>
        </c:scaling>
        <c:delete val="1"/>
        <c:axPos val="b"/>
        <c:title>
          <c:tx>
            <c:rich>
              <a:bodyPr rot="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r>
                  <a:rPr lang="en-US" sz="1050" b="1"/>
                  <a:t>Time (Seconds)</a:t>
                </a:r>
              </a:p>
            </c:rich>
          </c:tx>
          <c:layout/>
          <c:overlay val="0"/>
          <c:spPr>
            <a:noFill/>
            <a:ln>
              <a:noFill/>
            </a:ln>
            <a:effectLst/>
          </c:spPr>
          <c:txPr>
            <a:bodyPr rot="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crossAx val="1054897064"/>
        <c:crosses val="autoZero"/>
        <c:crossBetween val="midCat"/>
      </c:valAx>
      <c:spPr>
        <a:solidFill>
          <a:schemeClr val="bg1"/>
        </a:solidFill>
        <a:ln>
          <a:solidFill>
            <a:schemeClr val="tx1">
              <a:lumMod val="75000"/>
              <a:lumOff val="25000"/>
            </a:schemeClr>
          </a:solidFill>
        </a:ln>
        <a:effectLst/>
      </c:spPr>
    </c:plotArea>
    <c:legend>
      <c:legendPos val="t"/>
      <c:layout/>
      <c:overlay val="0"/>
      <c:spPr>
        <a:solidFill>
          <a:schemeClr val="bg1"/>
        </a:solidFill>
        <a:ln>
          <a:solidFill>
            <a:schemeClr val="bg1">
              <a:lumMod val="50000"/>
            </a:schemeClr>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lumMod val="95000"/>
      </a:schemeClr>
    </a:solidFill>
    <a:ln w="9525" cap="flat" cmpd="sng" algn="ctr">
      <a:solidFill>
        <a:schemeClr val="tx1">
          <a:lumMod val="75000"/>
          <a:lumOff val="2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Backend!$B$23</c:f>
          <c:strCache>
            <c:ptCount val="1"/>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PCAT</c:v>
          </c:tx>
          <c:spPr>
            <a:ln w="12700" cap="rnd">
              <a:solidFill>
                <a:schemeClr val="tx1">
                  <a:lumMod val="85000"/>
                  <a:lumOff val="15000"/>
                  <a:alpha val="80000"/>
                </a:schemeClr>
              </a:solidFill>
              <a:round/>
            </a:ln>
            <a:effectLst/>
          </c:spPr>
          <c:marker>
            <c:symbol val="none"/>
          </c:marker>
          <c:xVal>
            <c:numRef>
              <c:f>[0]!Capture3_ElapsedTime</c:f>
              <c:numCache>
                <c:formatCode>General</c:formatCode>
                <c:ptCount val="2"/>
                <c:pt idx="0">
                  <c:v>0</c:v>
                </c:pt>
                <c:pt idx="1">
                  <c:v>1</c:v>
                </c:pt>
              </c:numCache>
            </c:numRef>
          </c:xVal>
          <c:yVal>
            <c:numRef>
              <c:f>[0]!Capture3_Power_PCAT</c:f>
              <c:numCache>
                <c:formatCode>General</c:formatCode>
                <c:ptCount val="2"/>
                <c:pt idx="0">
                  <c:v>0</c:v>
                </c:pt>
                <c:pt idx="1">
                  <c:v>0</c:v>
                </c:pt>
              </c:numCache>
            </c:numRef>
          </c:yVal>
          <c:smooth val="0"/>
          <c:extLst>
            <c:ext xmlns:c16="http://schemas.microsoft.com/office/drawing/2014/chart" uri="{C3380CC4-5D6E-409C-BE32-E72D297353CC}">
              <c16:uniqueId val="{00000000-5F56-482E-8267-7337EA7F2347}"/>
            </c:ext>
          </c:extLst>
        </c:ser>
        <c:dLbls>
          <c:showLegendKey val="0"/>
          <c:showVal val="0"/>
          <c:showCatName val="0"/>
          <c:showSerName val="0"/>
          <c:showPercent val="0"/>
          <c:showBubbleSize val="0"/>
        </c:dLbls>
        <c:axId val="1054865904"/>
        <c:axId val="1054865248"/>
      </c:scatterChart>
      <c:scatterChart>
        <c:scatterStyle val="lineMarker"/>
        <c:varyColors val="0"/>
        <c:ser>
          <c:idx val="1"/>
          <c:order val="1"/>
          <c:tx>
            <c:v>API</c:v>
          </c:tx>
          <c:spPr>
            <a:ln w="19050" cap="rnd">
              <a:solidFill>
                <a:srgbClr val="9966FF">
                  <a:alpha val="67000"/>
                </a:srgbClr>
              </a:solidFill>
              <a:round/>
            </a:ln>
            <a:effectLst/>
          </c:spPr>
          <c:marker>
            <c:symbol val="none"/>
          </c:marker>
          <c:xVal>
            <c:numRef>
              <c:f>[0]!Capture3_ElapsedTime</c:f>
              <c:numCache>
                <c:formatCode>General</c:formatCode>
                <c:ptCount val="2"/>
                <c:pt idx="0">
                  <c:v>0</c:v>
                </c:pt>
                <c:pt idx="1">
                  <c:v>1</c:v>
                </c:pt>
              </c:numCache>
            </c:numRef>
          </c:xVal>
          <c:yVal>
            <c:numRef>
              <c:f>[0]!Capture3_Power_API</c:f>
              <c:numCache>
                <c:formatCode>General</c:formatCode>
                <c:ptCount val="2"/>
                <c:pt idx="0">
                  <c:v>0</c:v>
                </c:pt>
                <c:pt idx="1">
                  <c:v>0</c:v>
                </c:pt>
              </c:numCache>
            </c:numRef>
          </c:yVal>
          <c:smooth val="0"/>
          <c:extLst>
            <c:ext xmlns:c16="http://schemas.microsoft.com/office/drawing/2014/chart" uri="{C3380CC4-5D6E-409C-BE32-E72D297353CC}">
              <c16:uniqueId val="{00000001-5F56-482E-8267-7337EA7F2347}"/>
            </c:ext>
          </c:extLst>
        </c:ser>
        <c:dLbls>
          <c:showLegendKey val="0"/>
          <c:showVal val="0"/>
          <c:showCatName val="0"/>
          <c:showSerName val="0"/>
          <c:showPercent val="0"/>
          <c:showBubbleSize val="0"/>
        </c:dLbls>
        <c:axId val="1054897392"/>
        <c:axId val="1054897064"/>
      </c:scatterChart>
      <c:valAx>
        <c:axId val="10548659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75000"/>
                <a:lumOff val="2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4865248"/>
        <c:crosses val="autoZero"/>
        <c:crossBetween val="midCat"/>
      </c:valAx>
      <c:valAx>
        <c:axId val="105486524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r>
                  <a:rPr lang="en-US" sz="1050" b="1"/>
                  <a:t>Power Consumption (W)</a:t>
                </a:r>
              </a:p>
            </c:rich>
          </c:tx>
          <c:layout/>
          <c:overlay val="0"/>
          <c:spPr>
            <a:noFill/>
            <a:ln>
              <a:noFill/>
            </a:ln>
            <a:effectLst/>
          </c:spPr>
          <c:txPr>
            <a:bodyPr rot="-54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solidFill>
              <a:schemeClr val="tx1">
                <a:lumMod val="75000"/>
                <a:lumOff val="2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4865904"/>
        <c:crosses val="autoZero"/>
        <c:crossBetween val="midCat"/>
      </c:valAx>
      <c:valAx>
        <c:axId val="1054897064"/>
        <c:scaling>
          <c:orientation val="minMax"/>
          <c:min val="0"/>
        </c:scaling>
        <c:delete val="1"/>
        <c:axPos val="r"/>
        <c:numFmt formatCode="General" sourceLinked="1"/>
        <c:majorTickMark val="out"/>
        <c:minorTickMark val="none"/>
        <c:tickLblPos val="nextTo"/>
        <c:crossAx val="1054897392"/>
        <c:crosses val="max"/>
        <c:crossBetween val="midCat"/>
      </c:valAx>
      <c:valAx>
        <c:axId val="1054897392"/>
        <c:scaling>
          <c:orientation val="minMax"/>
        </c:scaling>
        <c:delete val="1"/>
        <c:axPos val="b"/>
        <c:title>
          <c:tx>
            <c:rich>
              <a:bodyPr rot="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r>
                  <a:rPr lang="en-US" sz="1050" b="1"/>
                  <a:t>Time (Seconds)</a:t>
                </a:r>
              </a:p>
            </c:rich>
          </c:tx>
          <c:layout/>
          <c:overlay val="0"/>
          <c:spPr>
            <a:noFill/>
            <a:ln>
              <a:noFill/>
            </a:ln>
            <a:effectLst/>
          </c:spPr>
          <c:txPr>
            <a:bodyPr rot="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crossAx val="1054897064"/>
        <c:crosses val="autoZero"/>
        <c:crossBetween val="midCat"/>
      </c:valAx>
      <c:spPr>
        <a:solidFill>
          <a:schemeClr val="bg1"/>
        </a:solidFill>
        <a:ln>
          <a:solidFill>
            <a:schemeClr val="tx1">
              <a:lumMod val="75000"/>
              <a:lumOff val="25000"/>
            </a:schemeClr>
          </a:solidFill>
        </a:ln>
        <a:effectLst/>
      </c:spPr>
    </c:plotArea>
    <c:legend>
      <c:legendPos val="t"/>
      <c:layout/>
      <c:overlay val="0"/>
      <c:spPr>
        <a:solidFill>
          <a:schemeClr val="bg1"/>
        </a:solidFill>
        <a:ln>
          <a:solidFill>
            <a:schemeClr val="bg1">
              <a:lumMod val="50000"/>
            </a:schemeClr>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lumMod val="95000"/>
      </a:schemeClr>
    </a:solidFill>
    <a:ln w="9525" cap="flat" cmpd="sng" algn="ctr">
      <a:solidFill>
        <a:schemeClr val="tx1">
          <a:lumMod val="75000"/>
          <a:lumOff val="2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Radio" checked="Checked" firstButton="1" fmlaLink="Backend!$B$142"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Drop" dropStyle="combo" dx="16" fmlaLink="Backend!$B$143" fmlaRange="Backend!$B$144:$B$152" noThreeD="1" sel="1" val="0"/>
</file>

<file path=xl/ctrlProps/ctrlProp11.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95250</xdr:rowOff>
        </xdr:from>
        <xdr:to>
          <xdr:col>1</xdr:col>
          <xdr:colOff>1323975</xdr:colOff>
          <xdr:row>4</xdr:row>
          <xdr:rowOff>180975</xdr:rowOff>
        </xdr:to>
        <xdr:sp macro="" textlink="">
          <xdr:nvSpPr>
            <xdr:cNvPr id="1030" name="Btn_ClearAll" hidden="1">
              <a:extLst>
                <a:ext uri="{63B3BB69-23CF-44E3-9099-C40C66FF867C}">
                  <a14:compatExt spid="_x0000_s1030"/>
                </a:ext>
                <a:ext uri="{FF2B5EF4-FFF2-40B4-BE49-F238E27FC236}">
                  <a16:creationId xmlns:a16="http://schemas.microsoft.com/office/drawing/2014/main" id="{00000000-0008-0000-03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All Data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9525</xdr:colOff>
          <xdr:row>1</xdr:row>
          <xdr:rowOff>95250</xdr:rowOff>
        </xdr:from>
        <xdr:to>
          <xdr:col>3</xdr:col>
          <xdr:colOff>0</xdr:colOff>
          <xdr:row>4</xdr:row>
          <xdr:rowOff>28575</xdr:rowOff>
        </xdr:to>
        <xdr:sp macro="" textlink="">
          <xdr:nvSpPr>
            <xdr:cNvPr id="1027" name="Btn_1_Load"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Load Capture #1</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1</xdr:row>
          <xdr:rowOff>95250</xdr:rowOff>
        </xdr:from>
        <xdr:to>
          <xdr:col>4</xdr:col>
          <xdr:colOff>0</xdr:colOff>
          <xdr:row>4</xdr:row>
          <xdr:rowOff>28575</xdr:rowOff>
        </xdr:to>
        <xdr:sp macro="" textlink="">
          <xdr:nvSpPr>
            <xdr:cNvPr id="1028" name="Btn_2_Load"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Load Capture #2</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9525</xdr:colOff>
          <xdr:row>1</xdr:row>
          <xdr:rowOff>95250</xdr:rowOff>
        </xdr:from>
        <xdr:to>
          <xdr:col>5</xdr:col>
          <xdr:colOff>0</xdr:colOff>
          <xdr:row>4</xdr:row>
          <xdr:rowOff>28575</xdr:rowOff>
        </xdr:to>
        <xdr:sp macro="" textlink="">
          <xdr:nvSpPr>
            <xdr:cNvPr id="1029" name="Btn_3_Load"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Load Capture #3</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9525</xdr:colOff>
          <xdr:row>4</xdr:row>
          <xdr:rowOff>38100</xdr:rowOff>
        </xdr:from>
        <xdr:to>
          <xdr:col>3</xdr:col>
          <xdr:colOff>0</xdr:colOff>
          <xdr:row>5</xdr:row>
          <xdr:rowOff>0</xdr:rowOff>
        </xdr:to>
        <xdr:sp macro="" textlink="">
          <xdr:nvSpPr>
            <xdr:cNvPr id="1039" name="Btn_1_Clear"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Clear #1</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4</xdr:row>
          <xdr:rowOff>38100</xdr:rowOff>
        </xdr:from>
        <xdr:to>
          <xdr:col>4</xdr:col>
          <xdr:colOff>0</xdr:colOff>
          <xdr:row>5</xdr:row>
          <xdr:rowOff>0</xdr:rowOff>
        </xdr:to>
        <xdr:sp macro="" textlink="">
          <xdr:nvSpPr>
            <xdr:cNvPr id="1040" name="Btn_2_Clear"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Clear #2</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9525</xdr:colOff>
          <xdr:row>4</xdr:row>
          <xdr:rowOff>38100</xdr:rowOff>
        </xdr:from>
        <xdr:to>
          <xdr:col>5</xdr:col>
          <xdr:colOff>0</xdr:colOff>
          <xdr:row>5</xdr:row>
          <xdr:rowOff>0</xdr:rowOff>
        </xdr:to>
        <xdr:sp macro="" textlink="">
          <xdr:nvSpPr>
            <xdr:cNvPr id="1041" name="Btn_3_Clear"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Clear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11</xdr:row>
          <xdr:rowOff>9525</xdr:rowOff>
        </xdr:from>
        <xdr:to>
          <xdr:col>2</xdr:col>
          <xdr:colOff>1219200</xdr:colOff>
          <xdr:row>12</xdr:row>
          <xdr:rowOff>0</xdr:rowOff>
        </xdr:to>
        <xdr:sp macro="" textlink="">
          <xdr:nvSpPr>
            <xdr:cNvPr id="1037" name="Radio_Power_Chip" hidden="1">
              <a:extLst>
                <a:ext uri="{63B3BB69-23CF-44E3-9099-C40C66FF867C}">
                  <a14:compatExt spid="_x0000_s1037"/>
                </a:ext>
                <a:ext uri="{FF2B5EF4-FFF2-40B4-BE49-F238E27FC236}">
                  <a16:creationId xmlns:a16="http://schemas.microsoft.com/office/drawing/2014/main" id="{00000000-0008-0000-03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GPU Chip Power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1409700</xdr:colOff>
          <xdr:row>11</xdr:row>
          <xdr:rowOff>9525</xdr:rowOff>
        </xdr:from>
        <xdr:to>
          <xdr:col>3</xdr:col>
          <xdr:colOff>1000125</xdr:colOff>
          <xdr:row>12</xdr:row>
          <xdr:rowOff>0</xdr:rowOff>
        </xdr:to>
        <xdr:sp macro="" textlink="">
          <xdr:nvSpPr>
            <xdr:cNvPr id="1038" name="Radio_Power_Total" hidden="1">
              <a:extLst>
                <a:ext uri="{63B3BB69-23CF-44E3-9099-C40C66FF867C}">
                  <a14:compatExt spid="_x0000_s1038"/>
                </a:ext>
                <a:ext uri="{FF2B5EF4-FFF2-40B4-BE49-F238E27FC236}">
                  <a16:creationId xmlns:a16="http://schemas.microsoft.com/office/drawing/2014/main" id="{00000000-0008-0000-03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Total Graphics Power</a:t>
              </a:r>
            </a:p>
          </xdr:txBody>
        </xdr:sp>
        <xdr:clientData/>
      </xdr:twoCellAnchor>
    </mc:Choice>
    <mc:Fallback/>
  </mc:AlternateContent>
  <xdr:twoCellAnchor editAs="oneCell">
    <xdr:from>
      <xdr:col>1</xdr:col>
      <xdr:colOff>123825</xdr:colOff>
      <xdr:row>20</xdr:row>
      <xdr:rowOff>129965</xdr:rowOff>
    </xdr:from>
    <xdr:to>
      <xdr:col>3</xdr:col>
      <xdr:colOff>462915</xdr:colOff>
      <xdr:row>39</xdr:row>
      <xdr:rowOff>72815</xdr:rowOff>
    </xdr:to>
    <xdr:graphicFrame macro="">
      <xdr:nvGraphicFramePr>
        <xdr:cNvPr id="2" name="Bar_FPS">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890221</xdr:colOff>
      <xdr:row>20</xdr:row>
      <xdr:rowOff>129964</xdr:rowOff>
    </xdr:from>
    <xdr:to>
      <xdr:col>6</xdr:col>
      <xdr:colOff>753061</xdr:colOff>
      <xdr:row>39</xdr:row>
      <xdr:rowOff>72814</xdr:rowOff>
    </xdr:to>
    <xdr:graphicFrame macro="">
      <xdr:nvGraphicFramePr>
        <xdr:cNvPr id="13" name="Bar_Power">
          <a:extLst>
            <a:ext uri="{FF2B5EF4-FFF2-40B4-BE49-F238E27FC236}">
              <a16:creationId xmlns:a16="http://schemas.microsoft.com/office/drawing/2014/main" id="{00000000-0008-0000-03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6</xdr:col>
      <xdr:colOff>1184763</xdr:colOff>
      <xdr:row>20</xdr:row>
      <xdr:rowOff>129964</xdr:rowOff>
    </xdr:from>
    <xdr:to>
      <xdr:col>11</xdr:col>
      <xdr:colOff>371328</xdr:colOff>
      <xdr:row>39</xdr:row>
      <xdr:rowOff>72814</xdr:rowOff>
    </xdr:to>
    <xdr:graphicFrame macro="">
      <xdr:nvGraphicFramePr>
        <xdr:cNvPr id="16" name="Bar_PPW">
          <a:extLst>
            <a:ext uri="{FF2B5EF4-FFF2-40B4-BE49-F238E27FC236}">
              <a16:creationId xmlns:a16="http://schemas.microsoft.com/office/drawing/2014/main" id="{00000000-0008-0000-03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11</xdr:col>
      <xdr:colOff>647700</xdr:colOff>
      <xdr:row>20</xdr:row>
      <xdr:rowOff>133350</xdr:rowOff>
    </xdr:from>
    <xdr:to>
      <xdr:col>14</xdr:col>
      <xdr:colOff>729615</xdr:colOff>
      <xdr:row>39</xdr:row>
      <xdr:rowOff>76200</xdr:rowOff>
    </xdr:to>
    <xdr:graphicFrame macro="">
      <xdr:nvGraphicFramePr>
        <xdr:cNvPr id="29" name="Bar_RenderLatency">
          <a:extLst>
            <a:ext uri="{FF2B5EF4-FFF2-40B4-BE49-F238E27FC236}">
              <a16:creationId xmlns:a16="http://schemas.microsoft.com/office/drawing/2014/main" id="{00000000-0008-0000-03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106650</xdr:colOff>
      <xdr:row>42</xdr:row>
      <xdr:rowOff>129015</xdr:rowOff>
    </xdr:from>
    <xdr:to>
      <xdr:col>6</xdr:col>
      <xdr:colOff>1047427</xdr:colOff>
      <xdr:row>64</xdr:row>
      <xdr:rowOff>52815</xdr:rowOff>
    </xdr:to>
    <xdr:graphicFrame macro="">
      <xdr:nvGraphicFramePr>
        <xdr:cNvPr id="3" name="Line_Capture1">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6</xdr:col>
      <xdr:colOff>1129695</xdr:colOff>
      <xdr:row>42</xdr:row>
      <xdr:rowOff>129015</xdr:rowOff>
    </xdr:from>
    <xdr:to>
      <xdr:col>15</xdr:col>
      <xdr:colOff>275376</xdr:colOff>
      <xdr:row>64</xdr:row>
      <xdr:rowOff>52815</xdr:rowOff>
    </xdr:to>
    <xdr:graphicFrame macro="">
      <xdr:nvGraphicFramePr>
        <xdr:cNvPr id="7" name="Line_Capture2">
          <a:extLst>
            <a:ext uri="{FF2B5EF4-FFF2-40B4-BE49-F238E27FC236}">
              <a16:creationId xmlns:a16="http://schemas.microsoft.com/office/drawing/2014/main"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349918</xdr:colOff>
      <xdr:row>42</xdr:row>
      <xdr:rowOff>129015</xdr:rowOff>
    </xdr:from>
    <xdr:to>
      <xdr:col>26</xdr:col>
      <xdr:colOff>959517</xdr:colOff>
      <xdr:row>64</xdr:row>
      <xdr:rowOff>52815</xdr:rowOff>
    </xdr:to>
    <xdr:graphicFrame macro="">
      <xdr:nvGraphicFramePr>
        <xdr:cNvPr id="8" name="Line_Capture3">
          <a:extLst>
            <a:ext uri="{FF2B5EF4-FFF2-40B4-BE49-F238E27FC236}">
              <a16:creationId xmlns:a16="http://schemas.microsoft.com/office/drawing/2014/main"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xdr:col>
      <xdr:colOff>106650</xdr:colOff>
      <xdr:row>89</xdr:row>
      <xdr:rowOff>104166</xdr:rowOff>
    </xdr:from>
    <xdr:to>
      <xdr:col>6</xdr:col>
      <xdr:colOff>1047427</xdr:colOff>
      <xdr:row>111</xdr:row>
      <xdr:rowOff>27966</xdr:rowOff>
    </xdr:to>
    <xdr:graphicFrame macro="">
      <xdr:nvGraphicFramePr>
        <xdr:cNvPr id="10" name="Line_FPS">
          <a:extLst>
            <a:ext uri="{FF2B5EF4-FFF2-40B4-BE49-F238E27FC236}">
              <a16:creationId xmlns:a16="http://schemas.microsoft.com/office/drawing/2014/main" id="{00000000-0008-0000-0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6</xdr:col>
      <xdr:colOff>1129695</xdr:colOff>
      <xdr:row>89</xdr:row>
      <xdr:rowOff>104166</xdr:rowOff>
    </xdr:from>
    <xdr:to>
      <xdr:col>15</xdr:col>
      <xdr:colOff>275376</xdr:colOff>
      <xdr:row>111</xdr:row>
      <xdr:rowOff>27966</xdr:rowOff>
    </xdr:to>
    <xdr:graphicFrame macro="">
      <xdr:nvGraphicFramePr>
        <xdr:cNvPr id="14" name="Line_Power">
          <a:extLst>
            <a:ext uri="{FF2B5EF4-FFF2-40B4-BE49-F238E27FC236}">
              <a16:creationId xmlns:a16="http://schemas.microsoft.com/office/drawing/2014/main" id="{00000000-0008-0000-03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15</xdr:col>
      <xdr:colOff>349918</xdr:colOff>
      <xdr:row>89</xdr:row>
      <xdr:rowOff>104166</xdr:rowOff>
    </xdr:from>
    <xdr:to>
      <xdr:col>26</xdr:col>
      <xdr:colOff>959517</xdr:colOff>
      <xdr:row>111</xdr:row>
      <xdr:rowOff>27966</xdr:rowOff>
    </xdr:to>
    <xdr:graphicFrame macro="">
      <xdr:nvGraphicFramePr>
        <xdr:cNvPr id="15" name="Line_PPW">
          <a:extLst>
            <a:ext uri="{FF2B5EF4-FFF2-40B4-BE49-F238E27FC236}">
              <a16:creationId xmlns:a16="http://schemas.microsoft.com/office/drawing/2014/main" id="{00000000-0008-0000-03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1</xdr:col>
      <xdr:colOff>114300</xdr:colOff>
      <xdr:row>111</xdr:row>
      <xdr:rowOff>133350</xdr:rowOff>
    </xdr:from>
    <xdr:to>
      <xdr:col>6</xdr:col>
      <xdr:colOff>1050681</xdr:colOff>
      <xdr:row>133</xdr:row>
      <xdr:rowOff>57150</xdr:rowOff>
    </xdr:to>
    <xdr:graphicFrame macro="">
      <xdr:nvGraphicFramePr>
        <xdr:cNvPr id="22" name="Line_RenderLatency">
          <a:extLst>
            <a:ext uri="{FF2B5EF4-FFF2-40B4-BE49-F238E27FC236}">
              <a16:creationId xmlns:a16="http://schemas.microsoft.com/office/drawing/2014/main" id="{00000000-0008-0000-03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6</xdr:col>
      <xdr:colOff>1133475</xdr:colOff>
      <xdr:row>111</xdr:row>
      <xdr:rowOff>133350</xdr:rowOff>
    </xdr:from>
    <xdr:to>
      <xdr:col>15</xdr:col>
      <xdr:colOff>279156</xdr:colOff>
      <xdr:row>133</xdr:row>
      <xdr:rowOff>57150</xdr:rowOff>
    </xdr:to>
    <xdr:graphicFrame macro="">
      <xdr:nvGraphicFramePr>
        <xdr:cNvPr id="27" name="Line_GPU0Clock">
          <a:extLst>
            <a:ext uri="{FF2B5EF4-FFF2-40B4-BE49-F238E27FC236}">
              <a16:creationId xmlns:a16="http://schemas.microsoft.com/office/drawing/2014/main" id="{00000000-0008-0000-03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oneCell">
    <xdr:from>
      <xdr:col>15</xdr:col>
      <xdr:colOff>352425</xdr:colOff>
      <xdr:row>111</xdr:row>
      <xdr:rowOff>133350</xdr:rowOff>
    </xdr:from>
    <xdr:to>
      <xdr:col>26</xdr:col>
      <xdr:colOff>964956</xdr:colOff>
      <xdr:row>133</xdr:row>
      <xdr:rowOff>57150</xdr:rowOff>
    </xdr:to>
    <xdr:graphicFrame macro="">
      <xdr:nvGraphicFramePr>
        <xdr:cNvPr id="21" name="Line_GPU0Temp">
          <a:extLst>
            <a:ext uri="{FF2B5EF4-FFF2-40B4-BE49-F238E27FC236}">
              <a16:creationId xmlns:a16="http://schemas.microsoft.com/office/drawing/2014/main" id="{00000000-0008-0000-03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oneCell">
    <xdr:from>
      <xdr:col>1</xdr:col>
      <xdr:colOff>114300</xdr:colOff>
      <xdr:row>133</xdr:row>
      <xdr:rowOff>161925</xdr:rowOff>
    </xdr:from>
    <xdr:to>
      <xdr:col>6</xdr:col>
      <xdr:colOff>1050681</xdr:colOff>
      <xdr:row>155</xdr:row>
      <xdr:rowOff>85725</xdr:rowOff>
    </xdr:to>
    <xdr:graphicFrame macro="">
      <xdr:nvGraphicFramePr>
        <xdr:cNvPr id="26" name="Line_RQD">
          <a:extLst>
            <a:ext uri="{FF2B5EF4-FFF2-40B4-BE49-F238E27FC236}">
              <a16:creationId xmlns:a16="http://schemas.microsoft.com/office/drawing/2014/main" id="{00000000-0008-0000-03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6</xdr:col>
      <xdr:colOff>1133475</xdr:colOff>
      <xdr:row>133</xdr:row>
      <xdr:rowOff>161925</xdr:rowOff>
    </xdr:from>
    <xdr:to>
      <xdr:col>15</xdr:col>
      <xdr:colOff>279156</xdr:colOff>
      <xdr:row>155</xdr:row>
      <xdr:rowOff>85725</xdr:rowOff>
    </xdr:to>
    <xdr:graphicFrame macro="">
      <xdr:nvGraphicFramePr>
        <xdr:cNvPr id="24" name="Line_CPUClock">
          <a:extLst>
            <a:ext uri="{FF2B5EF4-FFF2-40B4-BE49-F238E27FC236}">
              <a16:creationId xmlns:a16="http://schemas.microsoft.com/office/drawing/2014/main" id="{00000000-0008-0000-03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15</xdr:col>
      <xdr:colOff>352425</xdr:colOff>
      <xdr:row>133</xdr:row>
      <xdr:rowOff>161925</xdr:rowOff>
    </xdr:from>
    <xdr:to>
      <xdr:col>26</xdr:col>
      <xdr:colOff>964956</xdr:colOff>
      <xdr:row>155</xdr:row>
      <xdr:rowOff>85725</xdr:rowOff>
    </xdr:to>
    <xdr:graphicFrame macro="">
      <xdr:nvGraphicFramePr>
        <xdr:cNvPr id="25" name="Line_CPUTemp">
          <a:extLst>
            <a:ext uri="{FF2B5EF4-FFF2-40B4-BE49-F238E27FC236}">
              <a16:creationId xmlns:a16="http://schemas.microsoft.com/office/drawing/2014/main" id="{00000000-0008-0000-03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19050</xdr:colOff>
          <xdr:row>2</xdr:row>
          <xdr:rowOff>180975</xdr:rowOff>
        </xdr:from>
        <xdr:to>
          <xdr:col>6</xdr:col>
          <xdr:colOff>1333500</xdr:colOff>
          <xdr:row>3</xdr:row>
          <xdr:rowOff>171450</xdr:rowOff>
        </xdr:to>
        <xdr:sp macro="" textlink="">
          <xdr:nvSpPr>
            <xdr:cNvPr id="1062" name="Menu_SummaryTableFormula"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1200150</xdr:colOff>
          <xdr:row>11</xdr:row>
          <xdr:rowOff>9525</xdr:rowOff>
        </xdr:from>
        <xdr:to>
          <xdr:col>4</xdr:col>
          <xdr:colOff>1495425</xdr:colOff>
          <xdr:row>12</xdr:row>
          <xdr:rowOff>0</xdr:rowOff>
        </xdr:to>
        <xdr:sp macro="" textlink="">
          <xdr:nvSpPr>
            <xdr:cNvPr id="1063" name="Radio_Power_Total" hidden="1">
              <a:extLst>
                <a:ext uri="{63B3BB69-23CF-44E3-9099-C40C66FF867C}">
                  <a14:compatExt spid="_x0000_s10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Power Capture Analysis Tool (PCAT)</a:t>
              </a:r>
            </a:p>
          </xdr:txBody>
        </xdr:sp>
        <xdr:clientData/>
      </xdr:twoCellAnchor>
    </mc:Choice>
    <mc:Fallback/>
  </mc:AlternateContent>
  <xdr:twoCellAnchor editAs="oneCell">
    <xdr:from>
      <xdr:col>1</xdr:col>
      <xdr:colOff>104775</xdr:colOff>
      <xdr:row>64</xdr:row>
      <xdr:rowOff>142875</xdr:rowOff>
    </xdr:from>
    <xdr:to>
      <xdr:col>6</xdr:col>
      <xdr:colOff>1045552</xdr:colOff>
      <xdr:row>86</xdr:row>
      <xdr:rowOff>66675</xdr:rowOff>
    </xdr:to>
    <xdr:graphicFrame macro="">
      <xdr:nvGraphicFramePr>
        <xdr:cNvPr id="30" name="Line_Capture1">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oneCell">
    <xdr:from>
      <xdr:col>6</xdr:col>
      <xdr:colOff>1123950</xdr:colOff>
      <xdr:row>64</xdr:row>
      <xdr:rowOff>142875</xdr:rowOff>
    </xdr:from>
    <xdr:to>
      <xdr:col>15</xdr:col>
      <xdr:colOff>274027</xdr:colOff>
      <xdr:row>86</xdr:row>
      <xdr:rowOff>66675</xdr:rowOff>
    </xdr:to>
    <xdr:graphicFrame macro="">
      <xdr:nvGraphicFramePr>
        <xdr:cNvPr id="31" name="Line_Capture1">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editAs="oneCell">
    <xdr:from>
      <xdr:col>15</xdr:col>
      <xdr:colOff>352425</xdr:colOff>
      <xdr:row>64</xdr:row>
      <xdr:rowOff>142875</xdr:rowOff>
    </xdr:from>
    <xdr:to>
      <xdr:col>26</xdr:col>
      <xdr:colOff>969352</xdr:colOff>
      <xdr:row>86</xdr:row>
      <xdr:rowOff>66675</xdr:rowOff>
    </xdr:to>
    <xdr:graphicFrame macro="">
      <xdr:nvGraphicFramePr>
        <xdr:cNvPr id="32" name="Line_Capture1">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omments" Target="../comments1.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tint="-0.249977111117893"/>
  </sheetPr>
  <dimension ref="A404"/>
  <sheetViews>
    <sheetView workbookViewId="0">
      <selection activeCell="Q1" sqref="Q1"/>
    </sheetView>
  </sheetViews>
  <sheetFormatPr defaultRowHeight="15" x14ac:dyDescent="0.25"/>
  <cols>
    <col min="1" max="12" width="9.140625" customWidth="1"/>
    <col min="14" max="14" width="9.140625" customWidth="1"/>
  </cols>
  <sheetData>
    <row r="404" spans="1:1" x14ac:dyDescent="0.25">
      <c r="A404" s="51"/>
    </row>
  </sheetData>
  <sheetProtection selectLockedCells="1" selectUnlockedCells="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tint="0.59999389629810485"/>
  </sheetPr>
  <dimension ref="A3114"/>
  <sheetViews>
    <sheetView workbookViewId="0"/>
  </sheetViews>
  <sheetFormatPr defaultRowHeight="15" x14ac:dyDescent="0.25"/>
  <sheetData>
    <row r="3114" spans="1:1" x14ac:dyDescent="0.25">
      <c r="A3114" s="47"/>
    </row>
  </sheetData>
  <sheetProtection selectLockedCells="1" selectUnlockedCells="1"/>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BFB4E8"/>
  </sheetPr>
  <dimension ref="A5094"/>
  <sheetViews>
    <sheetView workbookViewId="0"/>
  </sheetViews>
  <sheetFormatPr defaultRowHeight="15" x14ac:dyDescent="0.25"/>
  <sheetData>
    <row r="5094" spans="1:1" x14ac:dyDescent="0.25">
      <c r="A5094" s="48"/>
    </row>
  </sheetData>
  <sheetProtection selectLockedCells="1" selectUnlockedCells="1"/>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A156"/>
  <sheetViews>
    <sheetView showGridLines="0" tabSelected="1" zoomScaleNormal="100" workbookViewId="0"/>
  </sheetViews>
  <sheetFormatPr defaultRowHeight="15" x14ac:dyDescent="0.25"/>
  <cols>
    <col min="1" max="1" width="2.85546875" customWidth="1"/>
    <col min="2" max="2" width="20" customWidth="1"/>
    <col min="3" max="5" width="24.28515625" customWidth="1"/>
    <col min="6" max="6" width="2.85546875" customWidth="1"/>
    <col min="7" max="7" width="24.42578125" bestFit="1" customWidth="1"/>
    <col min="8" max="10" width="11.42578125" customWidth="1"/>
    <col min="11" max="11" width="2.85546875" customWidth="1"/>
    <col min="12" max="12" width="22.42578125" bestFit="1" customWidth="1"/>
    <col min="13" max="15" width="12.85546875" style="42" customWidth="1"/>
    <col min="16" max="18" width="9.140625" style="1" customWidth="1"/>
    <col min="19" max="26" width="9.140625" customWidth="1"/>
    <col min="27" max="27" width="16.28515625" customWidth="1"/>
  </cols>
  <sheetData>
    <row r="1" spans="1:18" x14ac:dyDescent="0.25">
      <c r="A1" s="55"/>
    </row>
    <row r="2" spans="1:18" ht="10.5" customHeight="1" x14ac:dyDescent="0.25">
      <c r="B2" s="11"/>
      <c r="C2" s="17"/>
      <c r="D2" s="16"/>
      <c r="E2" s="18"/>
      <c r="G2" s="68" t="s">
        <v>245</v>
      </c>
      <c r="H2" s="86" t="str">
        <f>Capture1_Variable</f>
        <v/>
      </c>
      <c r="I2" s="83" t="str">
        <f>Capture2_Variable</f>
        <v/>
      </c>
      <c r="J2" s="80" t="str">
        <f>Capture3_Variable</f>
        <v/>
      </c>
      <c r="L2" s="68" t="s">
        <v>214</v>
      </c>
      <c r="M2" s="70" t="str">
        <f>IF(COUNTIF(M4:O15, "=CAUTION*")+COUNTIF(M4:O15, "=NOT FOUND")&gt;0, "PROBLEMS FOUND - SEE TOOLTIPS", "")</f>
        <v/>
      </c>
      <c r="N2" s="70"/>
      <c r="O2" s="71"/>
    </row>
    <row r="3" spans="1:18" s="1" customFormat="1" ht="15" customHeight="1" thickBot="1" x14ac:dyDescent="0.3">
      <c r="B3" s="11"/>
      <c r="C3" s="8"/>
      <c r="D3" s="10"/>
      <c r="E3" s="9"/>
      <c r="G3" s="89"/>
      <c r="H3" s="87"/>
      <c r="I3" s="84"/>
      <c r="J3" s="81"/>
      <c r="L3" s="69"/>
      <c r="M3" s="72"/>
      <c r="N3" s="72"/>
      <c r="O3" s="73"/>
    </row>
    <row r="4" spans="1:18" ht="15" customHeight="1" thickTop="1" thickBot="1" x14ac:dyDescent="0.3">
      <c r="B4" s="11"/>
      <c r="C4" s="8"/>
      <c r="D4" s="10"/>
      <c r="E4" s="9"/>
      <c r="G4" s="56"/>
      <c r="H4" s="88"/>
      <c r="I4" s="85"/>
      <c r="J4" s="82"/>
      <c r="L4" s="20" t="s">
        <v>2</v>
      </c>
      <c r="M4" s="41" t="str">
        <f>IF(Capture1_Valid, IF(Backend!L38=0, "GOOD", IF(ISNUMBER(Backend!L38), "CAUTION", "NOT FOUND")), "")</f>
        <v/>
      </c>
      <c r="N4" s="41" t="str">
        <f>IF(Capture2_Valid, IF(Backend!M38=0, "GOOD", IF(ISNUMBER(Backend!M38), "CAUTION", "NOT FOUND")), "")</f>
        <v/>
      </c>
      <c r="O4" s="41" t="str">
        <f>IF(Capture3_Valid, IF(Backend!N38=0, "GOOD", IF(ISNUMBER(Backend!N38), "CAUTION", "NOT FOUND")), "")</f>
        <v/>
      </c>
      <c r="Q4"/>
      <c r="R4"/>
    </row>
    <row r="5" spans="1:18" ht="15" customHeight="1" thickTop="1" x14ac:dyDescent="0.25">
      <c r="B5" s="11"/>
      <c r="C5" s="8"/>
      <c r="D5" s="10"/>
      <c r="E5" s="9"/>
      <c r="G5" s="20" t="s">
        <v>155</v>
      </c>
      <c r="H5" s="25" t="str">
        <f>IFERROR(IF(Capture1_Valid, MAX(Capture1_ElapsedTime), ""), "N/A")</f>
        <v/>
      </c>
      <c r="I5" s="25" t="str">
        <f>IFERROR(IF(Capture2_Valid, MAX(Capture2_ElapsedTime), ""), "N/A")</f>
        <v/>
      </c>
      <c r="J5" s="25" t="str">
        <f>IFERROR(IF(Capture3_Valid, MAX(Capture3_ElapsedTime), ""), "N/A")</f>
        <v/>
      </c>
      <c r="L5" s="15" t="s">
        <v>163</v>
      </c>
      <c r="M5" s="41" t="str">
        <f>IF(Capture1_Valid, IF(Backend!L39=0, "GOOD", IF(ISNUMBER(Backend!L39), "CAUTION", "NOT FOUND")), "")</f>
        <v/>
      </c>
      <c r="N5" s="41" t="str">
        <f>IF(Capture2_Valid, IF(Backend!M39=0, "GOOD", IF(ISNUMBER(Backend!M39), "CAUTION", "NOT FOUND")), "")</f>
        <v/>
      </c>
      <c r="O5" s="41" t="str">
        <f>IF(Capture3_Valid, IF(Backend!N39=0, "GOOD", IF(ISNUMBER(Backend!N39), "CAUTION", "NOT FOUND")), "")</f>
        <v/>
      </c>
      <c r="Q5"/>
      <c r="R5"/>
    </row>
    <row r="6" spans="1:18" s="1" customFormat="1" ht="15" customHeight="1" thickBot="1" x14ac:dyDescent="0.3">
      <c r="B6" s="75" t="s">
        <v>150</v>
      </c>
      <c r="C6" s="76"/>
      <c r="D6" s="76"/>
      <c r="E6" s="77"/>
      <c r="G6" s="49" t="s">
        <v>238</v>
      </c>
      <c r="H6" s="25" t="str">
        <f>IFERROR(IF(Capture1_Valid, IF(Meta_TableFormula="Average", 1000/AVERAGE(Capture1_FrameTimes), IF(Meta_TableFormula="Minimum", 1000/MAX(Capture1_FrameTimes), IF(Meta_TableFormula="Maximum", 1000/MIN(Capture1_FrameTimes), IF(Meta_TableFormula="1st Percentile", 1000/_xlfn.PERCENTILE.INC(Capture1_FrameTimes, 0.99), IF(Meta_TableFormula="5th Percentile", 1000/_xlfn.PERCENTILE.INC(Capture1_FrameTimes, 0.95), IF(Meta_TableFormula="10th Percentile", 1000/_xlfn.PERCENTILE.INC(Capture1_FrameTimes, 0.9), IF(Meta_TableFormula="90th Percentile", 1000/_xlfn.PERCENTILE.INC(Capture1_FrameTimes, 0.1), IF(Meta_TableFormula="95th Percentile", 1000/_xlfn.PERCENTILE.INC(Capture1_FrameTimes, 0.05), IF(Meta_TableFormula="99th Percentile", 1000/_xlfn.PERCENTILE.INC(Capture1_FrameTimes, 0.01)))))))))), ""), "N/A")</f>
        <v/>
      </c>
      <c r="I6" s="25" t="str">
        <f>IFERROR(IF(Capture2_Valid, IF(Meta_TableFormula="Average", 1000/AVERAGE(Capture2_FrameTimes), IF(Meta_TableFormula="Minimum", 1000/MAX(Capture2_FrameTimes), IF(Meta_TableFormula="Maximum", 1000/MIN(Capture2_FrameTimes), IF(Meta_TableFormula="1st Percentile", 1000/_xlfn.PERCENTILE.INC(Capture2_FrameTimes, 0.99), IF(Meta_TableFormula="5th Percentile", 1000/_xlfn.PERCENTILE.INC(Capture2_FrameTimes, 0.95), IF(Meta_TableFormula="10th Percentile", 1000/_xlfn.PERCENTILE.INC(Capture2_FrameTimes, 0.9), IF(Meta_TableFormula="90th Percentile", 1000/_xlfn.PERCENTILE.INC(Capture2_FrameTimes, 0.1), IF(Meta_TableFormula="95th Percentile", 1000/_xlfn.PERCENTILE.INC(Capture2_FrameTimes, 0.05), IF(Meta_TableFormula="99th Percentile", 1000/_xlfn.PERCENTILE.INC(Capture2_FrameTimes, 0.01)))))))))), ""), "N/A")</f>
        <v/>
      </c>
      <c r="J6" s="25" t="str">
        <f>IFERROR(IF(Capture3_Valid, IF(Meta_TableFormula="Average", 1000/AVERAGE(Capture3_FrameTimes), IF(Meta_TableFormula="Minimum", 1000/MAX(Capture3_FrameTimes), IF(Meta_TableFormula="Maximum", 1000/MIN(Capture3_FrameTimes), IF(Meta_TableFormula="1st Percentile", 1000/_xlfn.PERCENTILE.INC(Capture3_FrameTimes, 0.99), IF(Meta_TableFormula="5th Percentile", 1000/_xlfn.PERCENTILE.INC(Capture3_FrameTimes, 0.95), IF(Meta_TableFormula="10th Percentile", 1000/_xlfn.PERCENTILE.INC(Capture3_FrameTimes, 0.9), IF(Meta_TableFormula="90th Percentile", 1000/_xlfn.PERCENTILE.INC(Capture3_FrameTimes, 0.1), IF(Meta_TableFormula="95th Percentile", 1000/_xlfn.PERCENTILE.INC(Capture3_FrameTimes, 0.05), IF(Meta_TableFormula="99th Percentile", 1000/_xlfn.PERCENTILE.INC(Capture3_FrameTimes, 0.01)))))))))), ""), "N/A")</f>
        <v/>
      </c>
      <c r="L6" s="15" t="s">
        <v>3</v>
      </c>
      <c r="M6" s="41" t="str">
        <f>IF(Capture1_Valid, IF(AND(Backend!L41=0, Backend!L42=0), "GOOD", IF(ISNUMBER(Backend!L41), "CAUTION", "NOT FOUND")), "")</f>
        <v/>
      </c>
      <c r="N6" s="41" t="str">
        <f>IF(Capture2_Valid, IF(AND(Backend!M41=0, Backend!M42=0), "GOOD", IF(ISNUMBER(Backend!M41), "CAUTION", "NOT FOUND")), "")</f>
        <v/>
      </c>
      <c r="O6" s="41" t="str">
        <f>IF(Capture3_Valid, IF(AND(Backend!N41=0, Backend!N42=0), "GOOD", IF(ISNUMBER(Backend!N41), "CAUTION", "NOT FOUND")), "")</f>
        <v/>
      </c>
    </row>
    <row r="7" spans="1:18" s="1" customFormat="1" ht="15" customHeight="1" thickTop="1" x14ac:dyDescent="0.25">
      <c r="B7" s="20" t="s">
        <v>2</v>
      </c>
      <c r="C7" s="45" t="str">
        <f>Capture1_ReportedApplication</f>
        <v/>
      </c>
      <c r="D7" s="45" t="str">
        <f>Capture2_ReportedApplication</f>
        <v/>
      </c>
      <c r="E7" s="45" t="str">
        <f>Capture3_ReportedApplication</f>
        <v/>
      </c>
      <c r="G7" s="49" t="s">
        <v>225</v>
      </c>
      <c r="H7" s="13" t="str">
        <f>IFERROR(IF(Capture1_Valid, IF(Meta_TableFormula="Average", AVERAGE(Capture1_Power), IF(Meta_TableFormula="Minimum", MIN(Capture1_Power), IF(Meta_TableFormula="Maximum", MAX(Capture1_Power), IF(Meta_TableFormula="1st Percentile", _xlfn.PERCENTILE.INC(Capture1_Power, 0.01), IF(Meta_TableFormula="5th Percentile", _xlfn.PERCENTILE.INC(Capture1_Power, 0.05), IF(Meta_TableFormula="10th Percentile", _xlfn.PERCENTILE.INC(Capture1_Power, 0.1), IF(Meta_TableFormula="90th Percentile", _xlfn.PERCENTILE.INC(Capture1_Power, 0.9), IF(Meta_TableFormula="95th Percentile", _xlfn.PERCENTILE.INC(Capture1_Power, 0.95), IF(Meta_TableFormula="99th Percentile", _xlfn.PERCENTILE.INC(Capture1_Power, 0.99)))))))))), ""), "N/A")</f>
        <v/>
      </c>
      <c r="I7" s="13" t="str">
        <f>IFERROR(IF(Capture2_Valid, IF(Meta_TableFormula="Average", AVERAGE(Capture2_Power), IF(Meta_TableFormula="Minimum", MIN(Capture2_Power), IF(Meta_TableFormula="Maximum", MAX(Capture2_Power), IF(Meta_TableFormula="1st Percentile", _xlfn.PERCENTILE.INC(Capture2_Power, 0.01), IF(Meta_TableFormula="5th Percentile", _xlfn.PERCENTILE.INC(Capture2_Power, 0.05), IF(Meta_TableFormula="10th Percentile", _xlfn.PERCENTILE.INC(Capture2_Power, 0.1), IF(Meta_TableFormula="90th Percentile", _xlfn.PERCENTILE.INC(Capture2_Power, 0.9), IF(Meta_TableFormula="95th Percentile", _xlfn.PERCENTILE.INC(Capture2_Power, 0.95), IF(Meta_TableFormula="99th Percentile", _xlfn.PERCENTILE.INC(Capture2_Power, 0.99)))))))))), ""), "N/A")</f>
        <v/>
      </c>
      <c r="J7" s="13" t="str">
        <f>IFERROR(IF(Capture3_Valid, IF(Meta_TableFormula="Average", AVERAGE(Capture3_Power), IF(Meta_TableFormula="Minimum", MIN(Capture3_Power), IF(Meta_TableFormula="Maximum", MAX(Capture3_Power), IF(Meta_TableFormula="1st Percentile", _xlfn.PERCENTILE.INC(Capture3_Power, 0.01), IF(Meta_TableFormula="5th Percentile", _xlfn.PERCENTILE.INC(Capture3_Power, 0.05), IF(Meta_TableFormula="10th Percentile", _xlfn.PERCENTILE.INC(Capture3_Power, 0.1), IF(Meta_TableFormula="90th Percentile", _xlfn.PERCENTILE.INC(Capture3_Power, 0.9), IF(Meta_TableFormula="95th Percentile", _xlfn.PERCENTILE.INC(Capture3_Power, 0.95), IF(Meta_TableFormula="99th Percentile", _xlfn.PERCENTILE.INC(Capture3_Power, 0.99)))))))))), ""), "N/A")</f>
        <v/>
      </c>
      <c r="L7" s="15" t="s">
        <v>164</v>
      </c>
      <c r="M7" s="41" t="str">
        <f>IF(Capture1_Valid, IF(AND(Backend!L43=0, Backend!L44=0), "GOOD", IF(ISNUMBER(Backend!L42), "CAUTION", "NOT FOUND")), "")</f>
        <v/>
      </c>
      <c r="N7" s="41" t="str">
        <f>IF(Capture2_Valid, IF(AND(Backend!M43=0, Backend!M44=0), "GOOD", IF(ISNUMBER(Backend!M42), "CAUTION", "NOT FOUND")), "")</f>
        <v/>
      </c>
      <c r="O7" s="41" t="str">
        <f>IF(Capture3_Valid, IF(AND(Backend!N43=0, Backend!N44=0), "GOOD", IF(ISNUMBER(Backend!N42), "CAUTION", "NOT FOUND")), "")</f>
        <v/>
      </c>
    </row>
    <row r="8" spans="1:18" s="1" customFormat="1" ht="15" customHeight="1" x14ac:dyDescent="0.25">
      <c r="B8" s="20" t="s">
        <v>164</v>
      </c>
      <c r="C8" s="45" t="str">
        <f>Capture1_ReportedRuntime</f>
        <v/>
      </c>
      <c r="D8" s="45" t="str">
        <f>Capture2_ReportedRuntime</f>
        <v/>
      </c>
      <c r="E8" s="45" t="str">
        <f>Capture3_ReportedRuntime</f>
        <v/>
      </c>
      <c r="G8" s="49" t="s">
        <v>265</v>
      </c>
      <c r="H8" s="14" t="str">
        <f>IFERROR(IF(Capture1_Valid, IF(Meta_TableFormula="Average", AVERAGE(Capture1_PerfPerWatt), IF(Meta_TableFormula="Minimum", MIN(Capture1_PerfPerWatt), IF(Meta_TableFormula="Maximum", MAX(Capture1_PerfPerWatt), IF(Meta_TableFormula="1st Percentile", _xlfn.PERCENTILE.INC(Capture1_PerfPerWatt, 0.01), IF(Meta_TableFormula="5th Percentile", _xlfn.PERCENTILE.INC(Capture1_PerfPerWatt, 0.05), IF(Meta_TableFormula="10th Percentile", _xlfn.PERCENTILE.INC(Capture1_PerfPerWatt, 0.1), IF(Meta_TableFormula="90th Percentile", _xlfn.PERCENTILE.INC(Capture1_PerfPerWatt, 0.9), IF(Meta_TableFormula="95th Percentile", _xlfn.PERCENTILE.INC(Capture1_PerfPerWatt, 0.95), IF(Meta_TableFormula="99th Percentile", _xlfn.PERCENTILE.INC(Capture1_PerfPerWatt, 0.99)))))))))), ""), "N/A")</f>
        <v/>
      </c>
      <c r="I8" s="14" t="str">
        <f>IFERROR(IF(Capture2_Valid, IF(Meta_TableFormula="Average", AVERAGE(Capture2_PerfPerWatt), IF(Meta_TableFormula="Minimum", MIN(Capture2_PerfPerWatt), IF(Meta_TableFormula="Maximum", MAX(Capture2_PerfPerWatt), IF(Meta_TableFormula="1st Percentile", _xlfn.PERCENTILE.INC(Capture2_PerfPerWatt, 0.01), IF(Meta_TableFormula="5th Percentile", _xlfn.PERCENTILE.INC(Capture2_PerfPerWatt, 0.05), IF(Meta_TableFormula="10th Percentile", _xlfn.PERCENTILE.INC(Capture2_PerfPerWatt, 0.1), IF(Meta_TableFormula="90th Percentile", _xlfn.PERCENTILE.INC(Capture2_PerfPerWatt, 0.9), IF(Meta_TableFormula="95th Percentile", _xlfn.PERCENTILE.INC(Capture2_PerfPerWatt, 0.95), IF(Meta_TableFormula="99th Percentile", _xlfn.PERCENTILE.INC(Capture2_PerfPerWatt, 0.99)))))))))), ""), "N/A")</f>
        <v/>
      </c>
      <c r="J8" s="14" t="str">
        <f>IFERROR(IF(Capture3_Valid, IF(Meta_TableFormula="Average", AVERAGE(Capture3_PerfPerWatt), IF(Meta_TableFormula="Minimum", MIN(Capture3_PerfPerWatt), IF(Meta_TableFormula="Maximum", MAX(Capture3_PerfPerWatt), IF(Meta_TableFormula="1st Percentile", _xlfn.PERCENTILE.INC(Capture3_PerfPerWatt, 0.01), IF(Meta_TableFormula="5th Percentile", _xlfn.PERCENTILE.INC(Capture3_PerfPerWatt, 0.05), IF(Meta_TableFormula="10th Percentile", _xlfn.PERCENTILE.INC(Capture3_PerfPerWatt, 0.1), IF(Meta_TableFormula="90th Percentile", _xlfn.PERCENTILE.INC(Capture3_PerfPerWatt, 0.9), IF(Meta_TableFormula="95th Percentile", _xlfn.PERCENTILE.INC(Capture3_PerfPerWatt, 0.95), IF(Meta_TableFormula="99th Percentile", _xlfn.PERCENTILE.INC(Capture3_PerfPerWatt, 0.99)))))))))), ""), "N/A")</f>
        <v/>
      </c>
      <c r="L8" s="15" t="s">
        <v>226</v>
      </c>
      <c r="M8" s="41" t="str">
        <f>IF(Capture1_Valid, IF(Backend!L45=0, "GOOD", IF(ISNUMBER(Backend!L45), "CAUTION", "NOT FOUND")), "")</f>
        <v/>
      </c>
      <c r="N8" s="41" t="str">
        <f>IF(Capture2_Valid, IF(Backend!M45=0, "GOOD", IF(ISNUMBER(Backend!M45), "CAUTION", "NOT FOUND")), "")</f>
        <v/>
      </c>
      <c r="O8" s="41" t="str">
        <f>IF(Capture3_Valid, IF(Backend!N45=0, "GOOD", IF(ISNUMBER(Backend!N45), "CAUTION", "NOT FOUND")), "")</f>
        <v/>
      </c>
    </row>
    <row r="9" spans="1:18" s="1" customFormat="1" ht="15" customHeight="1" x14ac:dyDescent="0.25">
      <c r="B9" s="12" t="s">
        <v>3</v>
      </c>
      <c r="C9" s="46" t="str">
        <f>Capture1_ReportedResolution</f>
        <v/>
      </c>
      <c r="D9" s="46" t="str">
        <f>Capture2_ReportedResolution</f>
        <v/>
      </c>
      <c r="E9" s="46" t="str">
        <f>Capture3_ReportedResolution</f>
        <v/>
      </c>
      <c r="G9" s="59" t="s">
        <v>253</v>
      </c>
      <c r="H9" s="60" t="str">
        <f>IFERROR(IF(AND(Capture1_Valid, Capture1_Valid_PCAT), IF(Meta_TableFormula="Average", AVERAGE(Capture1_Power_PCAT)-AVERAGE(Capture1_Power_API), IF(Meta_TableFormula="Minimum", MIN(Capture1_Power_PCAT)-MIN(Capture1_Power_API), IF(Meta_TableFormula="Maximum", MAX(Capture1_Power_PCAT)-MAX(Capture1_Power_API), IF(Meta_TableFormula="1st Percentile", _xlfn.PERCENTILE.INC(Capture1_Power_PCAT, 0.01)-_xlfn.PERCENTILE.INC(Capture1_Power_API, 0.01), IF(Meta_TableFormula="5th Percentile", _xlfn.PERCENTILE.INC(Capture1_Power_PCAT, 0.05)-_xlfn.PERCENTILE.INC(Capture1_Power_API, 0.05), IF(Meta_TableFormula="10th Percentile", _xlfn.PERCENTILE.INC(Capture1_Power_PCAT, 0.1)-_xlfn.PERCENTILE.INC(Capture1_Power_API, 0.1), IF(Meta_TableFormula="90th Percentile", _xlfn.PERCENTILE.INC(Capture1_Power_PCAT, 0.9)-_xlfn.PERCENTILE.INC(Capture1_Power_API, 0.9), IF(Meta_TableFormula="95th Percentile", _xlfn.PERCENTILE.INC(Capture1_Power_PCAT, 0.95)-_xlfn.PERCENTILE.INC(Capture1_Power_API, 0.95), IF(Meta_TableFormula="99th Percentile", _xlfn.PERCENTILE.INC(Capture1_Power_PCAT, 0.99)-_xlfn.PERCENTILE.INC(Capture1_Power_API, 0.99)))))))))), ""), "N/A")</f>
        <v/>
      </c>
      <c r="I9" s="60" t="str">
        <f>IFERROR(IF(AND(Capture2_Valid, Capture2_Valid_PCAT), IF(Meta_TableFormula="Average", AVERAGE(Capture2_Power_PCAT)-AVERAGE(Capture2_Power_API), IF(Meta_TableFormula="Minimum", MIN(Capture2_Power_PCAT)-MIN(Capture2_Power_API), IF(Meta_TableFormula="Maximum", MAX(Capture2_Power_PCAT)-MAX(Capture2_Power_API), IF(Meta_TableFormula="1st Percentile", _xlfn.PERCENTILE.INC(Capture2_Power_PCAT, 0.01)-_xlfn.PERCENTILE.INC(Capture2_Power_API, 0.01), IF(Meta_TableFormula="5th Percentile", _xlfn.PERCENTILE.INC(Capture2_Power_PCAT, 0.05)-_xlfn.PERCENTILE.INC(Capture2_Power_API, 0.05), IF(Meta_TableFormula="10th Percentile", _xlfn.PERCENTILE.INC(Capture2_Power_PCAT, 0.1)-_xlfn.PERCENTILE.INC(Capture2_Power_API, 0.1), IF(Meta_TableFormula="90th Percentile", _xlfn.PERCENTILE.INC(Capture2_Power_PCAT, 0.9)-_xlfn.PERCENTILE.INC(Capture2_Power_API, 0.9), IF(Meta_TableFormula="95th Percentile", _xlfn.PERCENTILE.INC(Capture2_Power_PCAT, 0.95)-_xlfn.PERCENTILE.INC(Capture2_Power_API, 0.95), IF(Meta_TableFormula="99th Percentile", _xlfn.PERCENTILE.INC(Capture2_Power_PCAT, 0.99)-_xlfn.PERCENTILE.INC(Capture2_Power_API, 0.99)))))))))), ""), "N/A")</f>
        <v/>
      </c>
      <c r="J9" s="60" t="str">
        <f>IFERROR(IF(AND(Capture3_Valid, Capture3_Valid_PCAT), IF(Meta_TableFormula="Average", AVERAGE(Capture3_Power_PCAT)-AVERAGE(Capture3_Power_API), IF(Meta_TableFormula="Minimum", MIN(Capture3_Power_PCAT)-MIN(Capture3_Power_API), IF(Meta_TableFormula="Maximum", MAX(Capture3_Power_PCAT)-MAX(Capture3_Power_API), IF(Meta_TableFormula="1st Percentile", _xlfn.PERCENTILE.INC(Capture3_Power_PCAT, 0.01)-_xlfn.PERCENTILE.INC(Capture3_Power_API, 0.01), IF(Meta_TableFormula="5th Percentile", _xlfn.PERCENTILE.INC(Capture3_Power_PCAT, 0.05)-_xlfn.PERCENTILE.INC(Capture3_Power_API, 0.05), IF(Meta_TableFormula="10th Percentile", _xlfn.PERCENTILE.INC(Capture3_Power_PCAT, 0.1)-_xlfn.PERCENTILE.INC(Capture3_Power_API, 0.1), IF(Meta_TableFormula="90th Percentile", _xlfn.PERCENTILE.INC(Capture3_Power_PCAT, 0.9)-_xlfn.PERCENTILE.INC(Capture3_Power_API, 0.9), IF(Meta_TableFormula="95th Percentile", _xlfn.PERCENTILE.INC(Capture3_Power_PCAT, 0.95)-_xlfn.PERCENTILE.INC(Capture3_Power_API, 0.95), IF(Meta_TableFormula="99th Percentile", _xlfn.PERCENTILE.INC(Capture3_Power_PCAT, 0.99)-_xlfn.PERCENTILE.INC(Capture3_Power_API, 0.99)))))))))), ""), "N/A")</f>
        <v/>
      </c>
      <c r="L9" s="20" t="s">
        <v>210</v>
      </c>
      <c r="M9" s="41" t="str">
        <f>IF(Capture1_Valid, IF(Backend!L46=0, "GOOD", IF(ISNUMBER(Backend!L46), "CAUTION", "NOT FOUND")), "")</f>
        <v/>
      </c>
      <c r="N9" s="41" t="str">
        <f>IF(Capture2_Valid, IF(Backend!M46=0, "GOOD", IF(ISNUMBER(Backend!M46), "CAUTION", "NOT FOUND")), "")</f>
        <v/>
      </c>
      <c r="O9" s="41" t="str">
        <f>IF(Capture3_Valid, IF(Backend!N46=0, "GOOD", IF(ISNUMBER(Backend!N46), "CAUTION", "NOT FOUND")), "")</f>
        <v/>
      </c>
    </row>
    <row r="10" spans="1:18" s="1" customFormat="1" ht="15" customHeight="1" x14ac:dyDescent="0.25">
      <c r="B10" s="12" t="s">
        <v>149</v>
      </c>
      <c r="C10" s="46" t="str">
        <f>Capture1_ReportedGPU</f>
        <v/>
      </c>
      <c r="D10" s="46" t="str">
        <f>Capture2_ReportedGPU</f>
        <v/>
      </c>
      <c r="E10" s="46" t="str">
        <f>Capture3_ReportedGPU</f>
        <v/>
      </c>
      <c r="G10" s="49" t="s">
        <v>262</v>
      </c>
      <c r="H10" s="13" t="str">
        <f>IFERROR(IF(Capture1_Valid, IF(Meta_TableFormula="Average", AVERAGE(Capture1_RenderingLatency), IF(Meta_TableFormula="Minimum", MIN(Capture1_RenderingLatency), IF(Meta_TableFormula="Maximum", MAX(Capture1_RenderingLatency), IF(Meta_TableFormula="1st Percentile", _xlfn.PERCENTILE.INC(Capture1_RenderingLatency, 0.01), IF(Meta_TableFormula="5th Percentile", _xlfn.PERCENTILE.INC(Capture1_RenderingLatency, 0.05), IF(Meta_TableFormula="10th Percentile", _xlfn.PERCENTILE.INC(Capture1_RenderingLatency, 0.1), IF(Meta_TableFormula="90th Percentile", _xlfn.PERCENTILE.INC(Capture1_RenderingLatency, 0.9), IF(Meta_TableFormula="95th Percentile", _xlfn.PERCENTILE.INC(Capture1_RenderingLatency, 0.95), IF(Meta_TableFormula="99th Percentile", _xlfn.PERCENTILE.INC(Capture1_RenderingLatency, 0.99)))))))))), ""), "N/A")</f>
        <v/>
      </c>
      <c r="I10" s="13" t="str">
        <f>IFERROR(IF(Capture2_Valid, IF(Meta_TableFormula="Average", AVERAGE(Capture2_RenderingLatency), IF(Meta_TableFormula="Minimum", MIN(Capture2_RenderingLatency), IF(Meta_TableFormula="Maximum", MAX(Capture2_RenderingLatency), IF(Meta_TableFormula="1st Percentile", _xlfn.PERCENTILE.INC(Capture2_RenderingLatency, 0.01), IF(Meta_TableFormula="5th Percentile", _xlfn.PERCENTILE.INC(Capture2_RenderingLatency, 0.05), IF(Meta_TableFormula="10th Percentile", _xlfn.PERCENTILE.INC(Capture2_RenderingLatency, 0.1), IF(Meta_TableFormula="90th Percentile", _xlfn.PERCENTILE.INC(Capture2_RenderingLatency, 0.9), IF(Meta_TableFormula="95th Percentile", _xlfn.PERCENTILE.INC(Capture2_RenderingLatency, 0.95), IF(Meta_TableFormula="99th Percentile", _xlfn.PERCENTILE.INC(Capture2_RenderingLatency, 0.99)))))))))), ""), "N/A")</f>
        <v/>
      </c>
      <c r="J10" s="13" t="str">
        <f>IFERROR(IF(Capture3_Valid, IF(Meta_TableFormula="Average", AVERAGE(Capture3_RenderingLatency), IF(Meta_TableFormula="Minimum", MIN(Capture3_RenderingLatency), IF(Meta_TableFormula="Maximum", MAX(Capture3_RenderingLatency), IF(Meta_TableFormula="1st Percentile", _xlfn.PERCENTILE.INC(Capture3_RenderingLatency, 0.01), IF(Meta_TableFormula="5th Percentile", _xlfn.PERCENTILE.INC(Capture3_RenderingLatency, 0.05), IF(Meta_TableFormula="10th Percentile", _xlfn.PERCENTILE.INC(Capture3_RenderingLatency, 0.1), IF(Meta_TableFormula="90th Percentile", _xlfn.PERCENTILE.INC(Capture3_RenderingLatency, 0.9), IF(Meta_TableFormula="95th Percentile", _xlfn.PERCENTILE.INC(Capture3_RenderingLatency, 0.95), IF(Meta_TableFormula="99th Percentile", _xlfn.PERCENTILE.INC(Capture3_RenderingLatency, 0.99)))))))))), ""), "N/A")</f>
        <v/>
      </c>
      <c r="L10" s="15" t="s">
        <v>227</v>
      </c>
      <c r="M10" s="41" t="str">
        <f>IF(Capture1_Valid, IF(Backend!L47=0, "GOOD", IF(ISNUMBER(Backend!L47), "CAUTION", "NOT FOUND")), "")</f>
        <v/>
      </c>
      <c r="N10" s="41" t="str">
        <f>IF(Capture2_Valid, IF(Backend!M47=0, "GOOD", IF(ISNUMBER(Backend!M47), "CAUTION", "NOT FOUND")), "")</f>
        <v/>
      </c>
      <c r="O10" s="41" t="str">
        <f>IF(Capture3_Valid, IF(Backend!N47=0, "GOOD", IF(ISNUMBER(Backend!N47), "CAUTION", "NOT FOUND")), "")</f>
        <v/>
      </c>
    </row>
    <row r="11" spans="1:18" s="1" customFormat="1" ht="15" customHeight="1" x14ac:dyDescent="0.25">
      <c r="B11" s="12" t="s">
        <v>181</v>
      </c>
      <c r="C11" s="46"/>
      <c r="D11" s="46"/>
      <c r="E11" s="46"/>
      <c r="G11" s="49" t="s">
        <v>223</v>
      </c>
      <c r="H11" s="44" t="str">
        <f>IFERROR(IF(Capture1_Valid, IF(Meta_TableFormula="Average", AVERAGE(Capture1_RenderQueue), IF(Meta_TableFormula="Minimum", MIN(Capture1_RenderQueue), IF(Meta_TableFormula="Maximum", MAX(Capture1_RenderQueue), IF(Meta_TableFormula="1st Percentile", _xlfn.PERCENTILE.INC(Capture1_RenderQueue, 0.01), IF(Meta_TableFormula="5th Percentile", _xlfn.PERCENTILE.INC(Capture1_RenderQueue, 0.05), IF(Meta_TableFormula="10th Percentile", _xlfn.PERCENTILE.INC(Capture1_RenderQueue, 0.1), IF(Meta_TableFormula="90th Percentile", _xlfn.PERCENTILE.INC(Capture1_RenderQueue, 0.9), IF(Meta_TableFormula="95th Percentile", _xlfn.PERCENTILE.INC(Capture1_RenderQueue, 0.95), IF(Meta_TableFormula="99th Percentile", _xlfn.PERCENTILE.INC(Capture1_RenderQueue, 0.99)))))))))), ""), "N/A")</f>
        <v/>
      </c>
      <c r="I11" s="44" t="str">
        <f>IFERROR(IF(Capture2_Valid, IF(Meta_TableFormula="Average", AVERAGE(Capture2_RenderQueue), IF(Meta_TableFormula="Minimum", MIN(Capture2_RenderQueue), IF(Meta_TableFormula="Maximum", MAX(Capture2_RenderQueue), IF(Meta_TableFormula="1st Percentile", _xlfn.PERCENTILE.INC(Capture2_RenderQueue, 0.01), IF(Meta_TableFormula="5th Percentile", _xlfn.PERCENTILE.INC(Capture2_RenderQueue, 0.05), IF(Meta_TableFormula="10th Percentile", _xlfn.PERCENTILE.INC(Capture2_RenderQueue, 0.1), IF(Meta_TableFormula="90th Percentile", _xlfn.PERCENTILE.INC(Capture2_RenderQueue, 0.9), IF(Meta_TableFormula="95th Percentile", _xlfn.PERCENTILE.INC(Capture2_RenderQueue, 0.95), IF(Meta_TableFormula="99th Percentile", _xlfn.PERCENTILE.INC(Capture2_RenderQueue, 0.99)))))))))), ""), "N/A")</f>
        <v/>
      </c>
      <c r="J11" s="44" t="str">
        <f>IFERROR(IF(Capture3_Valid, IF(Meta_TableFormula="Average", AVERAGE(Capture3_RenderQueue), IF(Meta_TableFormula="Minimum", MIN(Capture3_RenderQueue), IF(Meta_TableFormula="Maximum", MAX(Capture3_RenderQueue), IF(Meta_TableFormula="1st Percentile", _xlfn.PERCENTILE.INC(Capture3_RenderQueue, 0.01), IF(Meta_TableFormula="5th Percentile", _xlfn.PERCENTILE.INC(Capture3_RenderQueue, 0.05), IF(Meta_TableFormula="10th Percentile", _xlfn.PERCENTILE.INC(Capture3_RenderQueue, 0.1), IF(Meta_TableFormula="90th Percentile", _xlfn.PERCENTILE.INC(Capture3_RenderQueue, 0.9), IF(Meta_TableFormula="95th Percentile", _xlfn.PERCENTILE.INC(Capture3_RenderQueue, 0.95), IF(Meta_TableFormula="99th Percentile", _xlfn.PERCENTILE.INC(Capture3_RenderQueue, 0.99)))))))))), ""), "N/A")</f>
        <v/>
      </c>
      <c r="L11" s="15" t="s">
        <v>212</v>
      </c>
      <c r="M11" s="41" t="str">
        <f>IF(Capture1_Valid, IF(Backend!L48=0, "GOOD", IF(ISNUMBER(Backend!L48), "CAUTION", "NOT FOUND")), "")</f>
        <v/>
      </c>
      <c r="N11" s="41" t="str">
        <f>IF(Capture2_Valid, IF(Backend!M48=0, "GOOD", IF(ISNUMBER(Backend!M48), "CAUTION", "NOT FOUND")), "")</f>
        <v/>
      </c>
      <c r="O11" s="41" t="str">
        <f>IF(Capture3_Valid, IF(Backend!N48=0, "GOOD", IF(ISNUMBER(Backend!N48), "CAUTION", "NOT FOUND")), "")</f>
        <v/>
      </c>
    </row>
    <row r="12" spans="1:18" s="1" customFormat="1" ht="15" customHeight="1" x14ac:dyDescent="0.25">
      <c r="B12" s="74" t="s">
        <v>13</v>
      </c>
      <c r="C12" s="78"/>
      <c r="D12" s="78"/>
      <c r="E12" s="79"/>
      <c r="G12" s="20" t="s">
        <v>264</v>
      </c>
      <c r="H12" s="21" t="str">
        <f>IFERROR(IF(Capture1_Valid, IF(Meta_TableFormula="Average", AVERAGE(Capture1_GPU0Util), IF(Meta_TableFormula="Minimum", MIN(Capture1_GPU0Util), IF(Meta_TableFormula="Maximum", MAX(Capture1_GPU0Util), IF(Meta_TableFormula="1st Percentile", _xlfn.PERCENTILE.INC(Capture1_GPU0Util, 0.01), IF(Meta_TableFormula="5th Percentile", _xlfn.PERCENTILE.INC(Capture1_GPU0Util, 0.05), IF(Meta_TableFormula="10th Percentile", _xlfn.PERCENTILE.INC(Capture1_GPU0Util, 0.1), IF(Meta_TableFormula="90th Percentile", _xlfn.PERCENTILE.INC(Capture1_GPU0Util, 0.9), IF(Meta_TableFormula="95th Percentile", _xlfn.PERCENTILE.INC(Capture1_GPU0Util, 0.95), IF(Meta_TableFormula="99th Percentile", _xlfn.PERCENTILE.INC(Capture1_GPU0Util, 0.99)))))))))), ""), "N/A")</f>
        <v/>
      </c>
      <c r="I12" s="21" t="str">
        <f>IFERROR(IF(Capture2_Valid, IF(Meta_TableFormula="Average", AVERAGE(Capture2_GPU0Util), IF(Meta_TableFormula="Minimum", MIN(Capture2_GPU0Util), IF(Meta_TableFormula="Maximum", MAX(Capture2_GPU0Util), IF(Meta_TableFormula="1st Percentile", _xlfn.PERCENTILE.INC(Capture2_GPU0Util, 0.01), IF(Meta_TableFormula="5th Percentile", _xlfn.PERCENTILE.INC(Capture2_GPU0Util, 0.05), IF(Meta_TableFormula="10th Percentile", _xlfn.PERCENTILE.INC(Capture2_GPU0Util, 0.1), IF(Meta_TableFormula="90th Percentile", _xlfn.PERCENTILE.INC(Capture2_GPU0Util, 0.9), IF(Meta_TableFormula="95th Percentile", _xlfn.PERCENTILE.INC(Capture2_GPU0Util, 0.95), IF(Meta_TableFormula="99th Percentile", _xlfn.PERCENTILE.INC(Capture2_GPU0Util, 0.99)))))))))), ""), "N/A")</f>
        <v/>
      </c>
      <c r="J12" s="21" t="str">
        <f>IFERROR(IF(Capture3_Valid, IF(Meta_TableFormula="Average", AVERAGE(Capture3_GPU0Util), IF(Meta_TableFormula="Minimum", MIN(Capture3_GPU0Util), IF(Meta_TableFormula="Maximum", MAX(Capture3_GPU0Util), IF(Meta_TableFormula="1st Percentile", _xlfn.PERCENTILE.INC(Capture3_GPU0Util, 0.01), IF(Meta_TableFormula="5th Percentile", _xlfn.PERCENTILE.INC(Capture3_GPU0Util, 0.05), IF(Meta_TableFormula="10th Percentile", _xlfn.PERCENTILE.INC(Capture3_GPU0Util, 0.1), IF(Meta_TableFormula="90th Percentile", _xlfn.PERCENTILE.INC(Capture3_GPU0Util, 0.9), IF(Meta_TableFormula="95th Percentile", _xlfn.PERCENTILE.INC(Capture3_GPU0Util, 0.95), IF(Meta_TableFormula="99th Percentile", _xlfn.PERCENTILE.INC(Capture3_GPU0Util, 0.99)))))))))), ""), "N/A")</f>
        <v/>
      </c>
      <c r="L12" s="20" t="s">
        <v>228</v>
      </c>
      <c r="M12" s="41" t="str">
        <f>IF(Capture1_Valid, IF(Backend!L49=0, "GOOD", IF(ISNUMBER(Backend!L49), "CAUTION", "NOT FOUND")), "")</f>
        <v/>
      </c>
      <c r="N12" s="41" t="str">
        <f>IF(Capture2_Valid, IF(Backend!M49=0, "GOOD", IF(ISNUMBER(Backend!M49), "CAUTION", "NOT FOUND")), "")</f>
        <v/>
      </c>
      <c r="O12" s="41" t="str">
        <f>IF(Capture3_Valid, IF(Backend!N49=0, "GOOD", IF(ISNUMBER(Backend!N49), "CAUTION", "NOT FOUND")), "")</f>
        <v/>
      </c>
    </row>
    <row r="13" spans="1:18" s="1" customFormat="1" ht="15" customHeight="1" x14ac:dyDescent="0.25">
      <c r="B13" s="74"/>
      <c r="C13" s="93" t="s">
        <v>252</v>
      </c>
      <c r="D13" s="93"/>
      <c r="E13" s="94"/>
      <c r="G13" s="49" t="s">
        <v>222</v>
      </c>
      <c r="H13" s="22" t="str">
        <f>IFERROR(IF(Capture1_Valid, IF(Meta_TableFormula="Average", AVERAGE(Capture1_GPU0Temp), IF(Meta_TableFormula="Minimum", MIN(Capture1_GPU0Temp), IF(Meta_TableFormula="Maximum", MAX(Capture1_GPU0Temp), IF(Meta_TableFormula="1st Percentile", _xlfn.PERCENTILE.INC(Capture1_GPU0Temp, 0.01), IF(Meta_TableFormula="5th Percentile", _xlfn.PERCENTILE.INC(Capture1_GPU0Temp, 0.05), IF(Meta_TableFormula="10th Percentile", _xlfn.PERCENTILE.INC(Capture1_GPU0Temp, 0.1), IF(Meta_TableFormula="90th Percentile", _xlfn.PERCENTILE.INC(Capture1_GPU0Temp, 0.9), IF(Meta_TableFormula="95th Percentile", _xlfn.PERCENTILE.INC(Capture1_GPU0Temp, 0.95), IF(Meta_TableFormula="99th Percentile", _xlfn.PERCENTILE.INC(Capture1_GPU0Temp, 0.99)))))))))), ""), "N/A")</f>
        <v/>
      </c>
      <c r="I13" s="22" t="str">
        <f>IFERROR(IF(Capture2_Valid, IF(Meta_TableFormula="Average", AVERAGE(Capture2_GPU0Temp), IF(Meta_TableFormula="Minimum", MIN(Capture2_GPU0Temp), IF(Meta_TableFormula="Maximum", MAX(Capture2_GPU0Temp), IF(Meta_TableFormula="1st Percentile", _xlfn.PERCENTILE.INC(Capture2_GPU0Temp, 0.01), IF(Meta_TableFormula="5th Percentile", _xlfn.PERCENTILE.INC(Capture2_GPU0Temp, 0.05), IF(Meta_TableFormula="10th Percentile", _xlfn.PERCENTILE.INC(Capture2_GPU0Temp, 0.1), IF(Meta_TableFormula="90th Percentile", _xlfn.PERCENTILE.INC(Capture2_GPU0Temp, 0.9), IF(Meta_TableFormula="95th Percentile", _xlfn.PERCENTILE.INC(Capture2_GPU0Temp, 0.95), IF(Meta_TableFormula="99th Percentile", _xlfn.PERCENTILE.INC(Capture2_GPU0Temp, 0.99)))))))))), ""), "N/A")</f>
        <v/>
      </c>
      <c r="J13" s="22" t="str">
        <f>IFERROR(IF(Capture3_Valid, IF(Meta_TableFormula="Average", AVERAGE(Capture3_GPU0Temp), IF(Meta_TableFormula="Minimum", MIN(Capture3_GPU0Temp), IF(Meta_TableFormula="Maximum", MAX(Capture3_GPU0Temp), IF(Meta_TableFormula="1st Percentile", _xlfn.PERCENTILE.INC(Capture3_GPU0Temp, 0.01), IF(Meta_TableFormula="5th Percentile", _xlfn.PERCENTILE.INC(Capture3_GPU0Temp, 0.05), IF(Meta_TableFormula="10th Percentile", _xlfn.PERCENTILE.INC(Capture3_GPU0Temp, 0.1), IF(Meta_TableFormula="90th Percentile", _xlfn.PERCENTILE.INC(Capture3_GPU0Temp, 0.9), IF(Meta_TableFormula="95th Percentile", _xlfn.PERCENTILE.INC(Capture3_GPU0Temp, 0.95), IF(Meta_TableFormula="99th Percentile", _xlfn.PERCENTILE.INC(Capture3_GPU0Temp, 0.99)))))))))), ""), "N/A")</f>
        <v/>
      </c>
      <c r="L13" s="20" t="s">
        <v>237</v>
      </c>
      <c r="M13" s="41" t="str">
        <f>IF(Capture1_Valid, IF(AND(Backend!L50=0, Backend!L51=0), "GOOD", IF(ISNUMBER(Backend!L50), "CAUTION", "NOT FOUND")), "")</f>
        <v/>
      </c>
      <c r="N13" s="41" t="str">
        <f>IF(Capture2_Valid, IF(Backend!M50=0, "GOOD", IF(ISNUMBER(Backend!M50), "CAUTION", "NOT FOUND")), "")</f>
        <v/>
      </c>
      <c r="O13" s="41" t="str">
        <f>IF(Capture3_Valid, IF(Backend!N50=0, "GOOD", IF(ISNUMBER(Backend!N50), "CAUTION", "NOT FOUND")), "")</f>
        <v/>
      </c>
    </row>
    <row r="14" spans="1:18" s="1" customFormat="1" ht="15" customHeight="1" x14ac:dyDescent="0.25">
      <c r="B14" s="74"/>
      <c r="C14" s="95"/>
      <c r="D14" s="95"/>
      <c r="E14" s="96"/>
      <c r="G14" s="49" t="s">
        <v>221</v>
      </c>
      <c r="H14" s="22" t="str">
        <f>IFERROR(IF(Capture1_Valid, IF(Meta_TableFormula="Average", AVERAGE(Capture1_GPU0Clock), IF(Meta_TableFormula="Minimum", MIN(Capture1_GPU0Clock), IF(Meta_TableFormula="Maximum", MAX(Capture1_GPU0Clock), IF(Meta_TableFormula="1st Percentile", _xlfn.PERCENTILE.INC(Capture1_GPU0Clock, 0.01), IF(Meta_TableFormula="5th Percentile", _xlfn.PERCENTILE.INC(Capture1_GPU0Clock, 0.05), IF(Meta_TableFormula="10th Percentile", _xlfn.PERCENTILE.INC(Capture1_GPU0Clock, 0.1), IF(Meta_TableFormula="90th Percentile", _xlfn.PERCENTILE.INC(Capture1_GPU0Clock, 0.9), IF(Meta_TableFormula="95th Percentile", _xlfn.PERCENTILE.INC(Capture1_GPU0Clock, 0.95), IF(Meta_TableFormula="99th Percentile", _xlfn.PERCENTILE.INC(Capture1_GPU0Clock, 0.99)))))))))), ""), "N/A")</f>
        <v/>
      </c>
      <c r="I14" s="22" t="str">
        <f>IFERROR(IF(Capture2_Valid, IF(Meta_TableFormula="Average", AVERAGE(Capture2_GPU0Clock), IF(Meta_TableFormula="Minimum", MIN(Capture2_GPU0Clock), IF(Meta_TableFormula="Maximum", MAX(Capture2_GPU0Clock), IF(Meta_TableFormula="1st Percentile", _xlfn.PERCENTILE.INC(Capture2_GPU0Clock, 0.01), IF(Meta_TableFormula="5th Percentile", _xlfn.PERCENTILE.INC(Capture2_GPU0Clock, 0.05), IF(Meta_TableFormula="10th Percentile", _xlfn.PERCENTILE.INC(Capture2_GPU0Clock, 0.1), IF(Meta_TableFormula="90th Percentile", _xlfn.PERCENTILE.INC(Capture2_GPU0Clock, 0.9), IF(Meta_TableFormula="95th Percentile", _xlfn.PERCENTILE.INC(Capture2_GPU0Clock, 0.95), IF(Meta_TableFormula="99th Percentile", _xlfn.PERCENTILE.INC(Capture2_GPU0Clock, 0.99)))))))))), ""), "N/A")</f>
        <v/>
      </c>
      <c r="J14" s="22" t="str">
        <f>IFERROR(IF(Capture3_Valid, IF(Meta_TableFormula="Average", AVERAGE(Capture3_GPU0Clock), IF(Meta_TableFormula="Minimum", MIN(Capture3_GPU0Clock), IF(Meta_TableFormula="Maximum", MAX(Capture3_GPU0Clock), IF(Meta_TableFormula="1st Percentile", _xlfn.PERCENTILE.INC(Capture3_GPU0Clock, 0.01), IF(Meta_TableFormula="5th Percentile", _xlfn.PERCENTILE.INC(Capture3_GPU0Clock, 0.05), IF(Meta_TableFormula="10th Percentile", _xlfn.PERCENTILE.INC(Capture3_GPU0Clock, 0.1), IF(Meta_TableFormula="90th Percentile", _xlfn.PERCENTILE.INC(Capture3_GPU0Clock, 0.9), IF(Meta_TableFormula="95th Percentile", _xlfn.PERCENTILE.INC(Capture3_GPU0Clock, 0.95), IF(Meta_TableFormula="99th Percentile", _xlfn.PERCENTILE.INC(Capture3_GPU0Clock, 0.99)))))))))), ""), "N/A")</f>
        <v/>
      </c>
      <c r="L14" s="15" t="s">
        <v>213</v>
      </c>
      <c r="M14" s="41" t="str">
        <f>IF(Capture1_Valid, IF(Backend!L52=0, "GOOD", IF(ISNUMBER(Backend!L52), "CAUTION", "NOT FOUND")), "")</f>
        <v/>
      </c>
      <c r="N14" s="41" t="str">
        <f>IF(Capture2_Valid, IF(Backend!M52=0, "GOOD", IF(ISNUMBER(Backend!M52), "CAUTION", "NOT FOUND")), "")</f>
        <v/>
      </c>
      <c r="O14" s="41" t="str">
        <f>IF(Capture3_Valid, IF(Backend!N52=0, "GOOD", IF(ISNUMBER(Backend!N52), "CAUTION", "NOT FOUND")), "")</f>
        <v/>
      </c>
    </row>
    <row r="15" spans="1:18" s="1" customFormat="1" ht="15" customHeight="1" x14ac:dyDescent="0.25">
      <c r="B15" s="74"/>
      <c r="C15" s="97"/>
      <c r="D15" s="97"/>
      <c r="E15" s="98"/>
      <c r="G15" s="20" t="s">
        <v>219</v>
      </c>
      <c r="H15" s="43" t="str">
        <f>IFERROR(IF(Capture1_Valid, IF(Meta_TableFormula="Average", AVERAGE(Capture1_CPUPower), IF(Meta_TableFormula="Minimum", MIN(Capture1_CPUPower), IF(Meta_TableFormula="Maximum", MAX(Capture1_CPUPower), IF(Meta_TableFormula="1st Percentile", _xlfn.PERCENTILE.INC(Capture1_CPUPower, 0.01), IF(Meta_TableFormula="5th Percentile", _xlfn.PERCENTILE.INC(Capture1_CPUPower, 0.05), IF(Meta_TableFormula="10th Percentile", _xlfn.PERCENTILE.INC(Capture1_CPUPower, 0.1), IF(Meta_TableFormula="90th Percentile", _xlfn.PERCENTILE.INC(Capture1_CPUPower, 0.9), IF(Meta_TableFormula="95th Percentile", _xlfn.PERCENTILE.INC(Capture1_CPUPower, 0.95), IF(Meta_TableFormula="99th Percentile", _xlfn.PERCENTILE.INC(Capture1_CPUPower, 0.99)))))))))), ""), "N/A")</f>
        <v/>
      </c>
      <c r="I15" s="43" t="str">
        <f>IFERROR(IF(Capture2_Valid, IF(Meta_TableFormula="Average", AVERAGE(Capture2_CPUPower), IF(Meta_TableFormula="Minimum", MIN(Capture2_CPUPower), IF(Meta_TableFormula="Maximum", MAX(Capture2_CPUPower), IF(Meta_TableFormula="1st Percentile", _xlfn.PERCENTILE.INC(Capture2_CPUPower, 0.01), IF(Meta_TableFormula="5th Percentile", _xlfn.PERCENTILE.INC(Capture2_CPUPower, 0.05), IF(Meta_TableFormula="10th Percentile", _xlfn.PERCENTILE.INC(Capture2_CPUPower, 0.1), IF(Meta_TableFormula="90th Percentile", _xlfn.PERCENTILE.INC(Capture2_CPUPower, 0.9), IF(Meta_TableFormula="95th Percentile", _xlfn.PERCENTILE.INC(Capture2_CPUPower, 0.95), IF(Meta_TableFormula="99th Percentile", _xlfn.PERCENTILE.INC(Capture2_CPUPower, 0.99)))))))))), ""), "N/A")</f>
        <v/>
      </c>
      <c r="J15" s="43" t="str">
        <f>IFERROR(IF(Capture3_Valid, IF(Meta_TableFormula="Average", AVERAGE(Capture3_CPUPower), IF(Meta_TableFormula="Minimum", MIN(Capture3_CPUPower), IF(Meta_TableFormula="Maximum", MAX(Capture3_CPUPower), IF(Meta_TableFormula="1st Percentile", _xlfn.PERCENTILE.INC(Capture3_CPUPower, 0.01), IF(Meta_TableFormula="5th Percentile", _xlfn.PERCENTILE.INC(Capture3_CPUPower, 0.05), IF(Meta_TableFormula="10th Percentile", _xlfn.PERCENTILE.INC(Capture3_CPUPower, 0.1), IF(Meta_TableFormula="90th Percentile", _xlfn.PERCENTILE.INC(Capture3_CPUPower, 0.9), IF(Meta_TableFormula="95th Percentile", _xlfn.PERCENTILE.INC(Capture3_CPUPower, 0.95), IF(Meta_TableFormula="99th Percentile", _xlfn.PERCENTILE.INC(Capture3_CPUPower, 0.99)))))))))), ""), "N/A")</f>
        <v/>
      </c>
      <c r="L15" s="15" t="s">
        <v>84</v>
      </c>
      <c r="M15" s="41" t="str">
        <f>IF(Capture1_Valid, IF(AND(ISNUMBER(Backend!C55), Backend!L55=0), "GOOD", IF(ISNUMBER(Backend!L55), "CAUTION", "NOT FOUND")), "")</f>
        <v/>
      </c>
      <c r="N15" s="41" t="str">
        <f>IF(Capture2_Valid, IF(AND(ISNUMBER(Backend!D55), Backend!M55=0), "GOOD", IF(ISNUMBER(Backend!M55), "CAUTION", "NOT FOUND")), "")</f>
        <v/>
      </c>
      <c r="O15" s="41" t="str">
        <f>IF(Capture3_Valid, IF(AND(ISNUMBER(Backend!E55), Backend!N55=0), "GOOD", IF(ISNUMBER(Backend!N55), "CAUTION", "NOT FOUND")), "")</f>
        <v/>
      </c>
    </row>
    <row r="16" spans="1:18" s="1" customFormat="1" ht="15" customHeight="1" x14ac:dyDescent="0.25">
      <c r="B16" s="90" t="s">
        <v>180</v>
      </c>
      <c r="C16" s="91"/>
      <c r="D16" s="91"/>
      <c r="E16" s="92"/>
      <c r="G16" s="20" t="s">
        <v>263</v>
      </c>
      <c r="H16" s="21" t="str">
        <f>IFERROR(IF(Capture1_Valid, IF(Meta_TableFormula="Average", AVERAGE(Capture1_CPUUtil), IF(Meta_TableFormula="Minimum", MIN(Capture1_CPUUtil), IF(Meta_TableFormula="Maximum", MAX(Capture1_CPUUtil), IF(Meta_TableFormula="1st Percentile", _xlfn.PERCENTILE.INC(Capture1_CPUUtil, 0.01), IF(Meta_TableFormula="5th Percentile", _xlfn.PERCENTILE.INC(Capture1_CPUUtil, 0.05), IF(Meta_TableFormula="10th Percentile", _xlfn.PERCENTILE.INC(Capture1_CPUUtil, 0.1), IF(Meta_TableFormula="90th Percentile", _xlfn.PERCENTILE.INC(Capture1_CPUUtil, 0.9), IF(Meta_TableFormula="95th Percentile", _xlfn.PERCENTILE.INC(Capture1_CPUUtil, 0.95), IF(Meta_TableFormula="99th Percentile", _xlfn.PERCENTILE.INC(Capture1_CPUUtil, 0.99)))))))))), ""), "N/A")</f>
        <v/>
      </c>
      <c r="I16" s="21" t="str">
        <f>IFERROR(IF(Capture2_Valid, IF(Meta_TableFormula="Average", AVERAGE(Capture2_CPUUtil), IF(Meta_TableFormula="Minimum", MIN(Capture2_CPUUtil), IF(Meta_TableFormula="Maximum", MAX(Capture2_CPUUtil), IF(Meta_TableFormula="1st Percentile", _xlfn.PERCENTILE.INC(Capture2_CPUUtil, 0.01), IF(Meta_TableFormula="5th Percentile", _xlfn.PERCENTILE.INC(Capture2_CPUUtil, 0.05), IF(Meta_TableFormula="10th Percentile", _xlfn.PERCENTILE.INC(Capture2_CPUUtil, 0.1), IF(Meta_TableFormula="90th Percentile", _xlfn.PERCENTILE.INC(Capture2_CPUUtil, 0.9), IF(Meta_TableFormula="95th Percentile", _xlfn.PERCENTILE.INC(Capture2_CPUUtil, 0.95), IF(Meta_TableFormula="99th Percentile", _xlfn.PERCENTILE.INC(Capture2_CPUUtil, 0.99)))))))))), ""), "N/A")</f>
        <v/>
      </c>
      <c r="J16" s="21" t="str">
        <f>IFERROR(IF(Capture3_Valid, IF(Meta_TableFormula="Average", AVERAGE(Capture3_CPUUtil), IF(Meta_TableFormula="Minimum", MIN(Capture3_CPUUtil), IF(Meta_TableFormula="Maximum", MAX(Capture3_CPUUtil), IF(Meta_TableFormula="1st Percentile", _xlfn.PERCENTILE.INC(Capture3_CPUUtil, 0.01), IF(Meta_TableFormula="5th Percentile", _xlfn.PERCENTILE.INC(Capture3_CPUUtil, 0.05), IF(Meta_TableFormula="10th Percentile", _xlfn.PERCENTILE.INC(Capture3_CPUUtil, 0.1), IF(Meta_TableFormula="90th Percentile", _xlfn.PERCENTILE.INC(Capture3_CPUUtil, 0.9), IF(Meta_TableFormula="95th Percentile", _xlfn.PERCENTILE.INC(Capture3_CPUUtil, 0.95), IF(Meta_TableFormula="99th Percentile", _xlfn.PERCENTILE.INC(Capture3_CPUUtil, 0.99)))))))))), ""), "N/A")</f>
        <v/>
      </c>
    </row>
    <row r="17" spans="2:18" s="1" customFormat="1" ht="15" customHeight="1" x14ac:dyDescent="0.25">
      <c r="B17" s="39" t="s">
        <v>177</v>
      </c>
      <c r="C17" s="114" t="s">
        <v>201</v>
      </c>
      <c r="D17" s="114"/>
      <c r="E17" s="114"/>
      <c r="F17"/>
      <c r="G17" s="20" t="s">
        <v>218</v>
      </c>
      <c r="H17" s="43" t="str">
        <f>IFERROR(IF(Capture1_Valid, IF(Meta_TableFormula="Average", AVERAGE(Capture1_CPUTemp), IF(Meta_TableFormula="Minimum", MIN(Capture1_CPUTemp), IF(Meta_TableFormula="Maximum", MAX(Capture1_CPUTemp), IF(Meta_TableFormula="1st Percentile", _xlfn.PERCENTILE.INC(Capture1_CPUTemp, 0.01), IF(Meta_TableFormula="5th Percentile", _xlfn.PERCENTILE.INC(Capture1_CPUTemp, 0.05), IF(Meta_TableFormula="10th Percentile", _xlfn.PERCENTILE.INC(Capture1_CPUTemp, 0.1), IF(Meta_TableFormula="90th Percentile", _xlfn.PERCENTILE.INC(Capture1_CPUTemp, 0.9), IF(Meta_TableFormula="95th Percentile", _xlfn.PERCENTILE.INC(Capture1_CPUTemp, 0.95), IF(Meta_TableFormula="99th Percentile", _xlfn.PERCENTILE.INC(Capture1_CPUTemp, 0.99)))))))))), ""), "N/A")</f>
        <v/>
      </c>
      <c r="I17" s="43" t="str">
        <f>IFERROR(IF(Capture2_Valid, IF(Meta_TableFormula="Average", AVERAGE(Capture2_CPUTemp), IF(Meta_TableFormula="Minimum", MIN(Capture2_CPUTemp), IF(Meta_TableFormula="Maximum", MAX(Capture2_CPUTemp), IF(Meta_TableFormula="1st Percentile", _xlfn.PERCENTILE.INC(Capture2_CPUTemp, 0.01), IF(Meta_TableFormula="5th Percentile", _xlfn.PERCENTILE.INC(Capture2_CPUTemp, 0.05), IF(Meta_TableFormula="10th Percentile", _xlfn.PERCENTILE.INC(Capture2_CPUTemp, 0.1), IF(Meta_TableFormula="90th Percentile", _xlfn.PERCENTILE.INC(Capture2_CPUTemp, 0.9), IF(Meta_TableFormula="95th Percentile", _xlfn.PERCENTILE.INC(Capture2_CPUTemp, 0.95), IF(Meta_TableFormula="99th Percentile", _xlfn.PERCENTILE.INC(Capture2_CPUTemp, 0.99)))))))))), ""), "N/A")</f>
        <v/>
      </c>
      <c r="J17" s="43" t="str">
        <f>IFERROR(IF(Capture3_Valid, IF(Meta_TableFormula="Average", AVERAGE(Capture3_CPUTemp), IF(Meta_TableFormula="Minimum", MIN(Capture3_CPUTemp), IF(Meta_TableFormula="Maximum", MAX(Capture3_CPUTemp), IF(Meta_TableFormula="1st Percentile", _xlfn.PERCENTILE.INC(Capture3_CPUTemp, 0.01), IF(Meta_TableFormula="5th Percentile", _xlfn.PERCENTILE.INC(Capture3_CPUTemp, 0.05), IF(Meta_TableFormula="10th Percentile", _xlfn.PERCENTILE.INC(Capture3_CPUTemp, 0.1), IF(Meta_TableFormula="90th Percentile", _xlfn.PERCENTILE.INC(Capture3_CPUTemp, 0.9), IF(Meta_TableFormula="95th Percentile", _xlfn.PERCENTILE.INC(Capture3_CPUTemp, 0.95), IF(Meta_TableFormula="99th Percentile", _xlfn.PERCENTILE.INC(Capture3_CPUTemp, 0.99)))))))))), ""), "N/A")</f>
        <v/>
      </c>
      <c r="K17"/>
    </row>
    <row r="18" spans="2:18" ht="15" customHeight="1" x14ac:dyDescent="0.25">
      <c r="B18" s="39" t="s">
        <v>176</v>
      </c>
      <c r="C18" s="114" t="s">
        <v>266</v>
      </c>
      <c r="D18" s="114"/>
      <c r="E18" s="114"/>
      <c r="G18" s="49" t="s">
        <v>220</v>
      </c>
      <c r="H18" s="22" t="str">
        <f>IFERROR(IF(Capture1_Valid, IF(Meta_TableFormula="Average", AVERAGE(Capture1_CPUClock), IF(Meta_TableFormula="Minimum", MIN(Capture1_CPUClock), IF(Meta_TableFormula="Maximum", MAX(Capture1_CPUClock), IF(Meta_TableFormula="1st Percentile", _xlfn.PERCENTILE.INC(Capture1_CPUClock, 0.01), IF(Meta_TableFormula="5th Percentile", _xlfn.PERCENTILE.INC(Capture1_CPUClock, 0.05), IF(Meta_TableFormula="10th Percentile", _xlfn.PERCENTILE.INC(Capture1_CPUClock, 0.1), IF(Meta_TableFormula="90th Percentile", _xlfn.PERCENTILE.INC(Capture1_CPUClock, 0.9), IF(Meta_TableFormula="95th Percentile", _xlfn.PERCENTILE.INC(Capture1_CPUClock, 0.95), IF(Meta_TableFormula="99th Percentile", _xlfn.PERCENTILE.INC(Capture1_CPUClock, 0.99)))))))))), ""), "N/A")</f>
        <v/>
      </c>
      <c r="I18" s="22" t="str">
        <f>IFERROR(IF(Capture2_Valid, IF(Meta_TableFormula="Average", AVERAGE(Capture2_CPUClock), IF(Meta_TableFormula="Minimum", MIN(Capture2_CPUClock), IF(Meta_TableFormula="Maximum", MAX(Capture2_CPUClock), IF(Meta_TableFormula="1st Percentile", _xlfn.PERCENTILE.INC(Capture2_CPUClock, 0.01), IF(Meta_TableFormula="5th Percentile", _xlfn.PERCENTILE.INC(Capture2_CPUClock, 0.05), IF(Meta_TableFormula="10th Percentile", _xlfn.PERCENTILE.INC(Capture2_CPUClock, 0.1), IF(Meta_TableFormula="90th Percentile", _xlfn.PERCENTILE.INC(Capture2_CPUClock, 0.9), IF(Meta_TableFormula="95th Percentile", _xlfn.PERCENTILE.INC(Capture2_CPUClock, 0.95), IF(Meta_TableFormula="99th Percentile", _xlfn.PERCENTILE.INC(Capture2_CPUClock, 0.99)))))))))), ""), "N/A")</f>
        <v/>
      </c>
      <c r="J18" s="22" t="str">
        <f>IFERROR(IF(Capture3_Valid, IF(Meta_TableFormula="Average", AVERAGE(Capture3_CPUClock), IF(Meta_TableFormula="Minimum", MIN(Capture3_CPUClock), IF(Meta_TableFormula="Maximum", MAX(Capture3_CPUClock), IF(Meta_TableFormula="1st Percentile", _xlfn.PERCENTILE.INC(Capture3_CPUClock, 0.01), IF(Meta_TableFormula="5th Percentile", _xlfn.PERCENTILE.INC(Capture3_CPUClock, 0.05), IF(Meta_TableFormula="10th Percentile", _xlfn.PERCENTILE.INC(Capture3_CPUClock, 0.1), IF(Meta_TableFormula="90th Percentile", _xlfn.PERCENTILE.INC(Capture3_CPUClock, 0.9), IF(Meta_TableFormula="95th Percentile", _xlfn.PERCENTILE.INC(Capture3_CPUClock, 0.95), IF(Meta_TableFormula="99th Percentile", _xlfn.PERCENTILE.INC(Capture3_CPUClock, 0.99)))))))))), ""), "N/A")</f>
        <v/>
      </c>
      <c r="M18"/>
      <c r="N18"/>
      <c r="O18"/>
      <c r="P18"/>
      <c r="Q18"/>
      <c r="R18"/>
    </row>
    <row r="19" spans="2:18" s="1" customFormat="1" ht="15" customHeight="1" x14ac:dyDescent="0.25">
      <c r="B19"/>
      <c r="C19"/>
      <c r="D19"/>
      <c r="E19"/>
      <c r="F19"/>
      <c r="G19"/>
      <c r="H19"/>
      <c r="I19"/>
      <c r="J19"/>
      <c r="M19" s="42"/>
      <c r="N19" s="42"/>
      <c r="O19" s="42"/>
    </row>
    <row r="20" spans="2:18" s="1" customFormat="1" ht="18.75" customHeight="1" thickBot="1" x14ac:dyDescent="0.3">
      <c r="B20" s="111" t="str">
        <f>CONCATENATE(" Run ", Meta_TableFormula, "s")</f>
        <v xml:space="preserve"> Run Averages</v>
      </c>
      <c r="C20" s="112"/>
      <c r="D20" s="112"/>
      <c r="E20" s="112"/>
      <c r="F20" s="112"/>
      <c r="G20" s="112"/>
      <c r="H20" s="112"/>
      <c r="I20" s="112"/>
      <c r="J20" s="112"/>
      <c r="K20" s="112"/>
      <c r="L20" s="112"/>
      <c r="M20" s="112"/>
      <c r="N20" s="112"/>
      <c r="O20" s="113"/>
    </row>
    <row r="21" spans="2:18" s="1" customFormat="1" ht="15" customHeight="1" thickTop="1" x14ac:dyDescent="0.25">
      <c r="B21" s="99"/>
      <c r="C21" s="100"/>
      <c r="D21" s="100"/>
      <c r="E21" s="100"/>
      <c r="F21" s="100"/>
      <c r="G21" s="100"/>
      <c r="H21" s="100"/>
      <c r="I21" s="100"/>
      <c r="J21" s="100"/>
      <c r="K21" s="100"/>
      <c r="L21" s="100"/>
      <c r="M21" s="100"/>
      <c r="N21" s="100"/>
      <c r="O21" s="101"/>
    </row>
    <row r="22" spans="2:18" s="1" customFormat="1" ht="15" customHeight="1" x14ac:dyDescent="0.25">
      <c r="B22" s="102"/>
      <c r="C22" s="103"/>
      <c r="D22" s="103"/>
      <c r="E22" s="103"/>
      <c r="F22" s="103"/>
      <c r="G22" s="103"/>
      <c r="H22" s="103"/>
      <c r="I22" s="103"/>
      <c r="J22" s="103"/>
      <c r="K22" s="103"/>
      <c r="L22" s="103"/>
      <c r="M22" s="103"/>
      <c r="N22" s="103"/>
      <c r="O22" s="104"/>
    </row>
    <row r="23" spans="2:18" s="1" customFormat="1" ht="15" customHeight="1" x14ac:dyDescent="0.25">
      <c r="B23" s="102"/>
      <c r="C23" s="103"/>
      <c r="D23" s="103"/>
      <c r="E23" s="103"/>
      <c r="F23" s="103"/>
      <c r="G23" s="103"/>
      <c r="H23" s="103"/>
      <c r="I23" s="103"/>
      <c r="J23" s="103"/>
      <c r="K23" s="103"/>
      <c r="L23" s="103"/>
      <c r="M23" s="103"/>
      <c r="N23" s="103"/>
      <c r="O23" s="104"/>
    </row>
    <row r="24" spans="2:18" s="1" customFormat="1" ht="15" customHeight="1" x14ac:dyDescent="0.25">
      <c r="B24" s="102"/>
      <c r="C24" s="103"/>
      <c r="D24" s="103"/>
      <c r="E24" s="103"/>
      <c r="F24" s="103"/>
      <c r="G24" s="103"/>
      <c r="H24" s="103"/>
      <c r="I24" s="103"/>
      <c r="J24" s="103"/>
      <c r="K24" s="103"/>
      <c r="L24" s="103"/>
      <c r="M24" s="103"/>
      <c r="N24" s="103"/>
      <c r="O24" s="104"/>
    </row>
    <row r="25" spans="2:18" s="1" customFormat="1" ht="15" customHeight="1" x14ac:dyDescent="0.25">
      <c r="B25" s="102"/>
      <c r="C25" s="103"/>
      <c r="D25" s="103"/>
      <c r="E25" s="103"/>
      <c r="F25" s="103"/>
      <c r="G25" s="103"/>
      <c r="H25" s="103"/>
      <c r="I25" s="103"/>
      <c r="J25" s="103"/>
      <c r="K25" s="103"/>
      <c r="L25" s="103"/>
      <c r="M25" s="103"/>
      <c r="N25" s="103"/>
      <c r="O25" s="104"/>
    </row>
    <row r="26" spans="2:18" s="1" customFormat="1" ht="15" customHeight="1" x14ac:dyDescent="0.25">
      <c r="B26" s="102"/>
      <c r="C26" s="103"/>
      <c r="D26" s="103"/>
      <c r="E26" s="103"/>
      <c r="F26" s="103"/>
      <c r="G26" s="103"/>
      <c r="H26" s="103"/>
      <c r="I26" s="103"/>
      <c r="J26" s="103"/>
      <c r="K26" s="103"/>
      <c r="L26" s="103"/>
      <c r="M26" s="103"/>
      <c r="N26" s="103"/>
      <c r="O26" s="104"/>
    </row>
    <row r="27" spans="2:18" s="1" customFormat="1" ht="15" customHeight="1" x14ac:dyDescent="0.25">
      <c r="B27" s="102"/>
      <c r="C27" s="103"/>
      <c r="D27" s="103"/>
      <c r="E27" s="103"/>
      <c r="F27" s="103"/>
      <c r="G27" s="103"/>
      <c r="H27" s="103"/>
      <c r="I27" s="103"/>
      <c r="J27" s="103"/>
      <c r="K27" s="103"/>
      <c r="L27" s="103"/>
      <c r="M27" s="103"/>
      <c r="N27" s="103"/>
      <c r="O27" s="104"/>
    </row>
    <row r="28" spans="2:18" s="1" customFormat="1" ht="15" customHeight="1" x14ac:dyDescent="0.25">
      <c r="B28" s="102"/>
      <c r="C28" s="103"/>
      <c r="D28" s="103"/>
      <c r="E28" s="103"/>
      <c r="F28" s="103"/>
      <c r="G28" s="103"/>
      <c r="H28" s="103"/>
      <c r="I28" s="103"/>
      <c r="J28" s="103"/>
      <c r="K28" s="103"/>
      <c r="L28" s="103"/>
      <c r="M28" s="103"/>
      <c r="N28" s="103"/>
      <c r="O28" s="104"/>
    </row>
    <row r="29" spans="2:18" s="1" customFormat="1" ht="15" customHeight="1" x14ac:dyDescent="0.25">
      <c r="B29" s="102"/>
      <c r="C29" s="103"/>
      <c r="D29" s="103"/>
      <c r="E29" s="103"/>
      <c r="F29" s="103"/>
      <c r="G29" s="103"/>
      <c r="H29" s="103"/>
      <c r="I29" s="103"/>
      <c r="J29" s="103"/>
      <c r="K29" s="103"/>
      <c r="L29" s="103"/>
      <c r="M29" s="103"/>
      <c r="N29" s="103"/>
      <c r="O29" s="104"/>
    </row>
    <row r="30" spans="2:18" s="1" customFormat="1" ht="15" customHeight="1" x14ac:dyDescent="0.25">
      <c r="B30" s="102"/>
      <c r="C30" s="103"/>
      <c r="D30" s="103"/>
      <c r="E30" s="103"/>
      <c r="F30" s="103"/>
      <c r="G30" s="103"/>
      <c r="H30" s="103"/>
      <c r="I30" s="103"/>
      <c r="J30" s="103"/>
      <c r="K30" s="103"/>
      <c r="L30" s="103"/>
      <c r="M30" s="103"/>
      <c r="N30" s="103"/>
      <c r="O30" s="104"/>
    </row>
    <row r="31" spans="2:18" s="1" customFormat="1" ht="15" customHeight="1" x14ac:dyDescent="0.25">
      <c r="B31" s="102"/>
      <c r="C31" s="103"/>
      <c r="D31" s="103"/>
      <c r="E31" s="103"/>
      <c r="F31" s="103"/>
      <c r="G31" s="103"/>
      <c r="H31" s="103"/>
      <c r="I31" s="103"/>
      <c r="J31" s="103"/>
      <c r="K31" s="103"/>
      <c r="L31" s="103"/>
      <c r="M31" s="103"/>
      <c r="N31" s="103"/>
      <c r="O31" s="104"/>
    </row>
    <row r="32" spans="2:18" s="1" customFormat="1" ht="15" customHeight="1" x14ac:dyDescent="0.25">
      <c r="B32" s="102"/>
      <c r="C32" s="103"/>
      <c r="D32" s="103"/>
      <c r="E32" s="103"/>
      <c r="F32" s="103"/>
      <c r="G32" s="103"/>
      <c r="H32" s="103"/>
      <c r="I32" s="103"/>
      <c r="J32" s="103"/>
      <c r="K32" s="103"/>
      <c r="L32" s="103"/>
      <c r="M32" s="103"/>
      <c r="N32" s="103"/>
      <c r="O32" s="104"/>
    </row>
    <row r="33" spans="2:27" s="1" customFormat="1" ht="15" customHeight="1" x14ac:dyDescent="0.25">
      <c r="B33" s="102"/>
      <c r="C33" s="103"/>
      <c r="D33" s="103"/>
      <c r="E33" s="103"/>
      <c r="F33" s="103"/>
      <c r="G33" s="103"/>
      <c r="H33" s="103"/>
      <c r="I33" s="103"/>
      <c r="J33" s="103"/>
      <c r="K33" s="103"/>
      <c r="L33" s="103"/>
      <c r="M33" s="103"/>
      <c r="N33" s="103"/>
      <c r="O33" s="104"/>
    </row>
    <row r="34" spans="2:27" s="1" customFormat="1" ht="15" customHeight="1" x14ac:dyDescent="0.25">
      <c r="B34" s="102"/>
      <c r="C34" s="103"/>
      <c r="D34" s="103"/>
      <c r="E34" s="103"/>
      <c r="F34" s="103"/>
      <c r="G34" s="103"/>
      <c r="H34" s="103"/>
      <c r="I34" s="103"/>
      <c r="J34" s="103"/>
      <c r="K34" s="103"/>
      <c r="L34" s="103"/>
      <c r="M34" s="103"/>
      <c r="N34" s="103"/>
      <c r="O34" s="104"/>
    </row>
    <row r="35" spans="2:27" s="1" customFormat="1" ht="15" customHeight="1" x14ac:dyDescent="0.25">
      <c r="B35" s="102"/>
      <c r="C35" s="103"/>
      <c r="D35" s="103"/>
      <c r="E35" s="103"/>
      <c r="F35" s="103"/>
      <c r="G35" s="103"/>
      <c r="H35" s="103"/>
      <c r="I35" s="103"/>
      <c r="J35" s="103"/>
      <c r="K35" s="103"/>
      <c r="L35" s="103"/>
      <c r="M35" s="103"/>
      <c r="N35" s="103"/>
      <c r="O35" s="104"/>
    </row>
    <row r="36" spans="2:27" s="1" customFormat="1" ht="15" customHeight="1" x14ac:dyDescent="0.25">
      <c r="B36" s="102"/>
      <c r="C36" s="103"/>
      <c r="D36" s="103"/>
      <c r="E36" s="103"/>
      <c r="F36" s="103"/>
      <c r="G36" s="103"/>
      <c r="H36" s="103"/>
      <c r="I36" s="103"/>
      <c r="J36" s="103"/>
      <c r="K36" s="103"/>
      <c r="L36" s="103"/>
      <c r="M36" s="103"/>
      <c r="N36" s="103"/>
      <c r="O36" s="104"/>
    </row>
    <row r="37" spans="2:27" s="1" customFormat="1" ht="15" customHeight="1" x14ac:dyDescent="0.25">
      <c r="B37" s="102"/>
      <c r="C37" s="103"/>
      <c r="D37" s="103"/>
      <c r="E37" s="103"/>
      <c r="F37" s="103"/>
      <c r="G37" s="103"/>
      <c r="H37" s="103"/>
      <c r="I37" s="103"/>
      <c r="J37" s="103"/>
      <c r="K37" s="103"/>
      <c r="L37" s="103"/>
      <c r="M37" s="103"/>
      <c r="N37" s="103"/>
      <c r="O37" s="104"/>
    </row>
    <row r="38" spans="2:27" s="1" customFormat="1" ht="15" customHeight="1" x14ac:dyDescent="0.25">
      <c r="B38" s="102"/>
      <c r="C38" s="103"/>
      <c r="D38" s="103"/>
      <c r="E38" s="103"/>
      <c r="F38" s="103"/>
      <c r="G38" s="103"/>
      <c r="H38" s="103"/>
      <c r="I38" s="103"/>
      <c r="J38" s="103"/>
      <c r="K38" s="103"/>
      <c r="L38" s="103"/>
      <c r="M38" s="103"/>
      <c r="N38" s="103"/>
      <c r="O38" s="104"/>
    </row>
    <row r="39" spans="2:27" s="1" customFormat="1" ht="15" customHeight="1" x14ac:dyDescent="0.25">
      <c r="B39" s="102"/>
      <c r="C39" s="103"/>
      <c r="D39" s="103"/>
      <c r="E39" s="103"/>
      <c r="F39" s="103"/>
      <c r="G39" s="103"/>
      <c r="H39" s="103"/>
      <c r="I39" s="103"/>
      <c r="J39" s="103"/>
      <c r="K39" s="103"/>
      <c r="L39" s="103"/>
      <c r="M39" s="103"/>
      <c r="N39" s="103"/>
      <c r="O39" s="104"/>
    </row>
    <row r="40" spans="2:27" s="1" customFormat="1" ht="15" customHeight="1" x14ac:dyDescent="0.25">
      <c r="B40" s="105"/>
      <c r="C40" s="106"/>
      <c r="D40" s="106"/>
      <c r="E40" s="106"/>
      <c r="F40" s="106"/>
      <c r="G40" s="106"/>
      <c r="H40" s="106"/>
      <c r="I40" s="106"/>
      <c r="J40" s="106"/>
      <c r="K40" s="106"/>
      <c r="L40" s="106"/>
      <c r="M40" s="106"/>
      <c r="N40" s="106"/>
      <c r="O40" s="107"/>
    </row>
    <row r="41" spans="2:27" s="1" customFormat="1" ht="15" customHeight="1" x14ac:dyDescent="0.25">
      <c r="M41" s="42"/>
      <c r="N41" s="42"/>
      <c r="O41" s="42"/>
    </row>
    <row r="42" spans="2:27" s="1" customFormat="1" ht="18.75" customHeight="1" thickBot="1" x14ac:dyDescent="0.3">
      <c r="B42" s="108" t="s">
        <v>182</v>
      </c>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c r="AA42" s="110"/>
    </row>
    <row r="43" spans="2:27" s="1" customFormat="1" ht="15" customHeight="1" thickTop="1" x14ac:dyDescent="0.25">
      <c r="B43" s="102"/>
      <c r="C43" s="103"/>
      <c r="D43" s="103"/>
      <c r="E43" s="103"/>
      <c r="F43" s="103"/>
      <c r="G43" s="103"/>
      <c r="H43" s="103"/>
      <c r="I43" s="103"/>
      <c r="J43" s="103"/>
      <c r="K43" s="103"/>
      <c r="L43" s="103"/>
      <c r="M43" s="103"/>
      <c r="N43" s="103"/>
      <c r="O43" s="103"/>
      <c r="P43" s="103"/>
      <c r="Q43" s="103"/>
      <c r="R43" s="103"/>
      <c r="S43" s="103"/>
      <c r="T43" s="103"/>
      <c r="U43" s="103"/>
      <c r="V43" s="103"/>
      <c r="W43" s="103"/>
      <c r="X43" s="103"/>
      <c r="Y43" s="103"/>
      <c r="Z43" s="103"/>
      <c r="AA43" s="104"/>
    </row>
    <row r="44" spans="2:27" ht="15" customHeight="1" x14ac:dyDescent="0.25">
      <c r="B44" s="102"/>
      <c r="C44" s="103"/>
      <c r="D44" s="103"/>
      <c r="E44" s="103"/>
      <c r="F44" s="103"/>
      <c r="G44" s="103"/>
      <c r="H44" s="103"/>
      <c r="I44" s="103"/>
      <c r="J44" s="103"/>
      <c r="K44" s="103"/>
      <c r="L44" s="103"/>
      <c r="M44" s="103"/>
      <c r="N44" s="103"/>
      <c r="O44" s="103"/>
      <c r="P44" s="103"/>
      <c r="Q44" s="103"/>
      <c r="R44" s="103"/>
      <c r="S44" s="103"/>
      <c r="T44" s="103"/>
      <c r="U44" s="103"/>
      <c r="V44" s="103"/>
      <c r="W44" s="103"/>
      <c r="X44" s="103"/>
      <c r="Y44" s="103"/>
      <c r="Z44" s="103"/>
      <c r="AA44" s="104"/>
    </row>
    <row r="45" spans="2:27" ht="15" customHeight="1" x14ac:dyDescent="0.25">
      <c r="B45" s="102"/>
      <c r="C45" s="103"/>
      <c r="D45" s="103"/>
      <c r="E45" s="103"/>
      <c r="F45" s="103"/>
      <c r="G45" s="103"/>
      <c r="H45" s="103"/>
      <c r="I45" s="103"/>
      <c r="J45" s="103"/>
      <c r="K45" s="103"/>
      <c r="L45" s="103"/>
      <c r="M45" s="103"/>
      <c r="N45" s="103"/>
      <c r="O45" s="103"/>
      <c r="P45" s="103"/>
      <c r="Q45" s="103"/>
      <c r="R45" s="103"/>
      <c r="S45" s="103"/>
      <c r="T45" s="103"/>
      <c r="U45" s="103"/>
      <c r="V45" s="103"/>
      <c r="W45" s="103"/>
      <c r="X45" s="103"/>
      <c r="Y45" s="103"/>
      <c r="Z45" s="103"/>
      <c r="AA45" s="104"/>
    </row>
    <row r="46" spans="2:27" ht="15" customHeight="1" x14ac:dyDescent="0.25">
      <c r="B46" s="102"/>
      <c r="C46" s="103"/>
      <c r="D46" s="103"/>
      <c r="E46" s="103"/>
      <c r="F46" s="103"/>
      <c r="G46" s="103"/>
      <c r="H46" s="103"/>
      <c r="I46" s="103"/>
      <c r="J46" s="103"/>
      <c r="K46" s="103"/>
      <c r="L46" s="103"/>
      <c r="M46" s="103"/>
      <c r="N46" s="103"/>
      <c r="O46" s="103"/>
      <c r="P46" s="103"/>
      <c r="Q46" s="103"/>
      <c r="R46" s="103"/>
      <c r="S46" s="103"/>
      <c r="T46" s="103"/>
      <c r="U46" s="103"/>
      <c r="V46" s="103"/>
      <c r="W46" s="103"/>
      <c r="X46" s="103"/>
      <c r="Y46" s="103"/>
      <c r="Z46" s="103"/>
      <c r="AA46" s="104"/>
    </row>
    <row r="47" spans="2:27" ht="15" customHeight="1" x14ac:dyDescent="0.25">
      <c r="B47" s="102"/>
      <c r="C47" s="103"/>
      <c r="D47" s="103"/>
      <c r="E47" s="103"/>
      <c r="F47" s="103"/>
      <c r="G47" s="103"/>
      <c r="H47" s="103"/>
      <c r="I47" s="103"/>
      <c r="J47" s="103"/>
      <c r="K47" s="103"/>
      <c r="L47" s="103"/>
      <c r="M47" s="103"/>
      <c r="N47" s="103"/>
      <c r="O47" s="103"/>
      <c r="P47" s="103"/>
      <c r="Q47" s="103"/>
      <c r="R47" s="103"/>
      <c r="S47" s="103"/>
      <c r="T47" s="103"/>
      <c r="U47" s="103"/>
      <c r="V47" s="103"/>
      <c r="W47" s="103"/>
      <c r="X47" s="103"/>
      <c r="Y47" s="103"/>
      <c r="Z47" s="103"/>
      <c r="AA47" s="104"/>
    </row>
    <row r="48" spans="2:27" ht="15" customHeight="1" x14ac:dyDescent="0.25">
      <c r="B48" s="102"/>
      <c r="C48" s="103"/>
      <c r="D48" s="103"/>
      <c r="E48" s="103"/>
      <c r="F48" s="103"/>
      <c r="G48" s="103"/>
      <c r="H48" s="103"/>
      <c r="I48" s="103"/>
      <c r="J48" s="103"/>
      <c r="K48" s="103"/>
      <c r="L48" s="103"/>
      <c r="M48" s="103"/>
      <c r="N48" s="103"/>
      <c r="O48" s="103"/>
      <c r="P48" s="103"/>
      <c r="Q48" s="103"/>
      <c r="R48" s="103"/>
      <c r="S48" s="103"/>
      <c r="T48" s="103"/>
      <c r="U48" s="103"/>
      <c r="V48" s="103"/>
      <c r="W48" s="103"/>
      <c r="X48" s="103"/>
      <c r="Y48" s="103"/>
      <c r="Z48" s="103"/>
      <c r="AA48" s="104"/>
    </row>
    <row r="49" spans="2:27" ht="15" customHeight="1" x14ac:dyDescent="0.25">
      <c r="B49" s="102"/>
      <c r="C49" s="103"/>
      <c r="D49" s="103"/>
      <c r="E49" s="103"/>
      <c r="F49" s="103"/>
      <c r="G49" s="103"/>
      <c r="H49" s="103"/>
      <c r="I49" s="103"/>
      <c r="J49" s="103"/>
      <c r="K49" s="103"/>
      <c r="L49" s="103"/>
      <c r="M49" s="103"/>
      <c r="N49" s="103"/>
      <c r="O49" s="103"/>
      <c r="P49" s="103"/>
      <c r="Q49" s="103"/>
      <c r="R49" s="103"/>
      <c r="S49" s="103"/>
      <c r="T49" s="103"/>
      <c r="U49" s="103"/>
      <c r="V49" s="103"/>
      <c r="W49" s="103"/>
      <c r="X49" s="103"/>
      <c r="Y49" s="103"/>
      <c r="Z49" s="103"/>
      <c r="AA49" s="104"/>
    </row>
    <row r="50" spans="2:27" ht="15" customHeight="1" x14ac:dyDescent="0.25">
      <c r="B50" s="102"/>
      <c r="C50" s="103"/>
      <c r="D50" s="103"/>
      <c r="E50" s="103"/>
      <c r="F50" s="103"/>
      <c r="G50" s="103"/>
      <c r="H50" s="103"/>
      <c r="I50" s="103"/>
      <c r="J50" s="103"/>
      <c r="K50" s="103"/>
      <c r="L50" s="103"/>
      <c r="M50" s="103"/>
      <c r="N50" s="103"/>
      <c r="O50" s="103"/>
      <c r="P50" s="103"/>
      <c r="Q50" s="103"/>
      <c r="R50" s="103"/>
      <c r="S50" s="103"/>
      <c r="T50" s="103"/>
      <c r="U50" s="103"/>
      <c r="V50" s="103"/>
      <c r="W50" s="103"/>
      <c r="X50" s="103"/>
      <c r="Y50" s="103"/>
      <c r="Z50" s="103"/>
      <c r="AA50" s="104"/>
    </row>
    <row r="51" spans="2:27" ht="15" customHeight="1" x14ac:dyDescent="0.25">
      <c r="B51" s="102"/>
      <c r="C51" s="103"/>
      <c r="D51" s="103"/>
      <c r="E51" s="103"/>
      <c r="F51" s="103"/>
      <c r="G51" s="103"/>
      <c r="H51" s="103"/>
      <c r="I51" s="103"/>
      <c r="J51" s="103"/>
      <c r="K51" s="103"/>
      <c r="L51" s="103"/>
      <c r="M51" s="103"/>
      <c r="N51" s="103"/>
      <c r="O51" s="103"/>
      <c r="P51" s="103"/>
      <c r="Q51" s="103"/>
      <c r="R51" s="103"/>
      <c r="S51" s="103"/>
      <c r="T51" s="103"/>
      <c r="U51" s="103"/>
      <c r="V51" s="103"/>
      <c r="W51" s="103"/>
      <c r="X51" s="103"/>
      <c r="Y51" s="103"/>
      <c r="Z51" s="103"/>
      <c r="AA51" s="104"/>
    </row>
    <row r="52" spans="2:27" ht="15" customHeight="1" x14ac:dyDescent="0.25">
      <c r="B52" s="102"/>
      <c r="C52" s="103"/>
      <c r="D52" s="103"/>
      <c r="E52" s="103"/>
      <c r="F52" s="103"/>
      <c r="G52" s="103"/>
      <c r="H52" s="103"/>
      <c r="I52" s="103"/>
      <c r="J52" s="103"/>
      <c r="K52" s="103"/>
      <c r="L52" s="103"/>
      <c r="M52" s="103"/>
      <c r="N52" s="103"/>
      <c r="O52" s="103"/>
      <c r="P52" s="103"/>
      <c r="Q52" s="103"/>
      <c r="R52" s="103"/>
      <c r="S52" s="103"/>
      <c r="T52" s="103"/>
      <c r="U52" s="103"/>
      <c r="V52" s="103"/>
      <c r="W52" s="103"/>
      <c r="X52" s="103"/>
      <c r="Y52" s="103"/>
      <c r="Z52" s="103"/>
      <c r="AA52" s="104"/>
    </row>
    <row r="53" spans="2:27" ht="15" customHeight="1" x14ac:dyDescent="0.25">
      <c r="B53" s="102"/>
      <c r="C53" s="103"/>
      <c r="D53" s="103"/>
      <c r="E53" s="103"/>
      <c r="F53" s="103"/>
      <c r="G53" s="103"/>
      <c r="H53" s="103"/>
      <c r="I53" s="103"/>
      <c r="J53" s="103"/>
      <c r="K53" s="103"/>
      <c r="L53" s="103"/>
      <c r="M53" s="103"/>
      <c r="N53" s="103"/>
      <c r="O53" s="103"/>
      <c r="P53" s="103"/>
      <c r="Q53" s="103"/>
      <c r="R53" s="103"/>
      <c r="S53" s="103"/>
      <c r="T53" s="103"/>
      <c r="U53" s="103"/>
      <c r="V53" s="103"/>
      <c r="W53" s="103"/>
      <c r="X53" s="103"/>
      <c r="Y53" s="103"/>
      <c r="Z53" s="103"/>
      <c r="AA53" s="104"/>
    </row>
    <row r="54" spans="2:27" ht="15" customHeight="1" x14ac:dyDescent="0.25">
      <c r="B54" s="102"/>
      <c r="C54" s="103"/>
      <c r="D54" s="103"/>
      <c r="E54" s="103"/>
      <c r="F54" s="103"/>
      <c r="G54" s="103"/>
      <c r="H54" s="103"/>
      <c r="I54" s="103"/>
      <c r="J54" s="103"/>
      <c r="K54" s="103"/>
      <c r="L54" s="103"/>
      <c r="M54" s="103"/>
      <c r="N54" s="103"/>
      <c r="O54" s="103"/>
      <c r="P54" s="103"/>
      <c r="Q54" s="103"/>
      <c r="R54" s="103"/>
      <c r="S54" s="103"/>
      <c r="T54" s="103"/>
      <c r="U54" s="103"/>
      <c r="V54" s="103"/>
      <c r="W54" s="103"/>
      <c r="X54" s="103"/>
      <c r="Y54" s="103"/>
      <c r="Z54" s="103"/>
      <c r="AA54" s="104"/>
    </row>
    <row r="55" spans="2:27" ht="15" customHeight="1" x14ac:dyDescent="0.25">
      <c r="B55" s="102"/>
      <c r="C55" s="103"/>
      <c r="D55" s="103"/>
      <c r="E55" s="103"/>
      <c r="F55" s="103"/>
      <c r="G55" s="103"/>
      <c r="H55" s="103"/>
      <c r="I55" s="103"/>
      <c r="J55" s="103"/>
      <c r="K55" s="103"/>
      <c r="L55" s="103"/>
      <c r="M55" s="103"/>
      <c r="N55" s="103"/>
      <c r="O55" s="103"/>
      <c r="P55" s="103"/>
      <c r="Q55" s="103"/>
      <c r="R55" s="103"/>
      <c r="S55" s="103"/>
      <c r="T55" s="103"/>
      <c r="U55" s="103"/>
      <c r="V55" s="103"/>
      <c r="W55" s="103"/>
      <c r="X55" s="103"/>
      <c r="Y55" s="103"/>
      <c r="Z55" s="103"/>
      <c r="AA55" s="104"/>
    </row>
    <row r="56" spans="2:27" ht="15" customHeight="1" x14ac:dyDescent="0.25">
      <c r="B56" s="102"/>
      <c r="C56" s="103"/>
      <c r="D56" s="103"/>
      <c r="E56" s="103"/>
      <c r="F56" s="103"/>
      <c r="G56" s="103"/>
      <c r="H56" s="103"/>
      <c r="I56" s="103"/>
      <c r="J56" s="103"/>
      <c r="K56" s="103"/>
      <c r="L56" s="103"/>
      <c r="M56" s="103"/>
      <c r="N56" s="103"/>
      <c r="O56" s="103"/>
      <c r="P56" s="103"/>
      <c r="Q56" s="103"/>
      <c r="R56" s="103"/>
      <c r="S56" s="103"/>
      <c r="T56" s="103"/>
      <c r="U56" s="103"/>
      <c r="V56" s="103"/>
      <c r="W56" s="103"/>
      <c r="X56" s="103"/>
      <c r="Y56" s="103"/>
      <c r="Z56" s="103"/>
      <c r="AA56" s="104"/>
    </row>
    <row r="57" spans="2:27" ht="15" customHeight="1" x14ac:dyDescent="0.25">
      <c r="B57" s="102"/>
      <c r="C57" s="103"/>
      <c r="D57" s="103"/>
      <c r="E57" s="103"/>
      <c r="F57" s="103"/>
      <c r="G57" s="103"/>
      <c r="H57" s="103"/>
      <c r="I57" s="103"/>
      <c r="J57" s="103"/>
      <c r="K57" s="103"/>
      <c r="L57" s="103"/>
      <c r="M57" s="103"/>
      <c r="N57" s="103"/>
      <c r="O57" s="103"/>
      <c r="P57" s="103"/>
      <c r="Q57" s="103"/>
      <c r="R57" s="103"/>
      <c r="S57" s="103"/>
      <c r="T57" s="103"/>
      <c r="U57" s="103"/>
      <c r="V57" s="103"/>
      <c r="W57" s="103"/>
      <c r="X57" s="103"/>
      <c r="Y57" s="103"/>
      <c r="Z57" s="103"/>
      <c r="AA57" s="104"/>
    </row>
    <row r="58" spans="2:27" ht="15" customHeight="1" x14ac:dyDescent="0.25">
      <c r="B58" s="102"/>
      <c r="C58" s="103"/>
      <c r="D58" s="103"/>
      <c r="E58" s="103"/>
      <c r="F58" s="103"/>
      <c r="G58" s="103"/>
      <c r="H58" s="103"/>
      <c r="I58" s="103"/>
      <c r="J58" s="103"/>
      <c r="K58" s="103"/>
      <c r="L58" s="103"/>
      <c r="M58" s="103"/>
      <c r="N58" s="103"/>
      <c r="O58" s="103"/>
      <c r="P58" s="103"/>
      <c r="Q58" s="103"/>
      <c r="R58" s="103"/>
      <c r="S58" s="103"/>
      <c r="T58" s="103"/>
      <c r="U58" s="103"/>
      <c r="V58" s="103"/>
      <c r="W58" s="103"/>
      <c r="X58" s="103"/>
      <c r="Y58" s="103"/>
      <c r="Z58" s="103"/>
      <c r="AA58" s="104"/>
    </row>
    <row r="59" spans="2:27" ht="15" customHeight="1" x14ac:dyDescent="0.25">
      <c r="B59" s="102"/>
      <c r="C59" s="103"/>
      <c r="D59" s="103"/>
      <c r="E59" s="103"/>
      <c r="F59" s="103"/>
      <c r="G59" s="103"/>
      <c r="H59" s="103"/>
      <c r="I59" s="103"/>
      <c r="J59" s="103"/>
      <c r="K59" s="103"/>
      <c r="L59" s="103"/>
      <c r="M59" s="103"/>
      <c r="N59" s="103"/>
      <c r="O59" s="103"/>
      <c r="P59" s="103"/>
      <c r="Q59" s="103"/>
      <c r="R59" s="103"/>
      <c r="S59" s="103"/>
      <c r="T59" s="103"/>
      <c r="U59" s="103"/>
      <c r="V59" s="103"/>
      <c r="W59" s="103"/>
      <c r="X59" s="103"/>
      <c r="Y59" s="103"/>
      <c r="Z59" s="103"/>
      <c r="AA59" s="104"/>
    </row>
    <row r="60" spans="2:27" ht="15" customHeight="1" x14ac:dyDescent="0.25">
      <c r="B60" s="102"/>
      <c r="C60" s="103"/>
      <c r="D60" s="103"/>
      <c r="E60" s="103"/>
      <c r="F60" s="103"/>
      <c r="G60" s="103"/>
      <c r="H60" s="103"/>
      <c r="I60" s="103"/>
      <c r="J60" s="103"/>
      <c r="K60" s="103"/>
      <c r="L60" s="103"/>
      <c r="M60" s="103"/>
      <c r="N60" s="103"/>
      <c r="O60" s="103"/>
      <c r="P60" s="103"/>
      <c r="Q60" s="103"/>
      <c r="R60" s="103"/>
      <c r="S60" s="103"/>
      <c r="T60" s="103"/>
      <c r="U60" s="103"/>
      <c r="V60" s="103"/>
      <c r="W60" s="103"/>
      <c r="X60" s="103"/>
      <c r="Y60" s="103"/>
      <c r="Z60" s="103"/>
      <c r="AA60" s="104"/>
    </row>
    <row r="61" spans="2:27" ht="15" customHeight="1" x14ac:dyDescent="0.25">
      <c r="B61" s="102"/>
      <c r="C61" s="103"/>
      <c r="D61" s="103"/>
      <c r="E61" s="103"/>
      <c r="F61" s="103"/>
      <c r="G61" s="103"/>
      <c r="H61" s="103"/>
      <c r="I61" s="103"/>
      <c r="J61" s="103"/>
      <c r="K61" s="103"/>
      <c r="L61" s="103"/>
      <c r="M61" s="103"/>
      <c r="N61" s="103"/>
      <c r="O61" s="103"/>
      <c r="P61" s="103"/>
      <c r="Q61" s="103"/>
      <c r="R61" s="103"/>
      <c r="S61" s="103"/>
      <c r="T61" s="103"/>
      <c r="U61" s="103"/>
      <c r="V61" s="103"/>
      <c r="W61" s="103"/>
      <c r="X61" s="103"/>
      <c r="Y61" s="103"/>
      <c r="Z61" s="103"/>
      <c r="AA61" s="104"/>
    </row>
    <row r="62" spans="2:27" ht="15" customHeight="1" x14ac:dyDescent="0.25">
      <c r="B62" s="102"/>
      <c r="C62" s="103"/>
      <c r="D62" s="103"/>
      <c r="E62" s="103"/>
      <c r="F62" s="103"/>
      <c r="G62" s="103"/>
      <c r="H62" s="103"/>
      <c r="I62" s="103"/>
      <c r="J62" s="103"/>
      <c r="K62" s="103"/>
      <c r="L62" s="103"/>
      <c r="M62" s="103"/>
      <c r="N62" s="103"/>
      <c r="O62" s="103"/>
      <c r="P62" s="103"/>
      <c r="Q62" s="103"/>
      <c r="R62" s="103"/>
      <c r="S62" s="103"/>
      <c r="T62" s="103"/>
      <c r="U62" s="103"/>
      <c r="V62" s="103"/>
      <c r="W62" s="103"/>
      <c r="X62" s="103"/>
      <c r="Y62" s="103"/>
      <c r="Z62" s="103"/>
      <c r="AA62" s="104"/>
    </row>
    <row r="63" spans="2:27" ht="15" customHeight="1" x14ac:dyDescent="0.25">
      <c r="B63" s="102"/>
      <c r="C63" s="103"/>
      <c r="D63" s="103"/>
      <c r="E63" s="103"/>
      <c r="F63" s="103"/>
      <c r="G63" s="103"/>
      <c r="H63" s="103"/>
      <c r="I63" s="103"/>
      <c r="J63" s="103"/>
      <c r="K63" s="103"/>
      <c r="L63" s="103"/>
      <c r="M63" s="103"/>
      <c r="N63" s="103"/>
      <c r="O63" s="103"/>
      <c r="P63" s="103"/>
      <c r="Q63" s="103"/>
      <c r="R63" s="103"/>
      <c r="S63" s="103"/>
      <c r="T63" s="103"/>
      <c r="U63" s="103"/>
      <c r="V63" s="103"/>
      <c r="W63" s="103"/>
      <c r="X63" s="103"/>
      <c r="Y63" s="103"/>
      <c r="Z63" s="103"/>
      <c r="AA63" s="104"/>
    </row>
    <row r="64" spans="2:27" ht="15" customHeight="1" x14ac:dyDescent="0.25">
      <c r="B64" s="102"/>
      <c r="C64" s="103"/>
      <c r="D64" s="103"/>
      <c r="E64" s="103"/>
      <c r="F64" s="103"/>
      <c r="G64" s="103"/>
      <c r="H64" s="103"/>
      <c r="I64" s="103"/>
      <c r="J64" s="103"/>
      <c r="K64" s="103"/>
      <c r="L64" s="103"/>
      <c r="M64" s="103"/>
      <c r="N64" s="103"/>
      <c r="O64" s="103"/>
      <c r="P64" s="103"/>
      <c r="Q64" s="103"/>
      <c r="R64" s="103"/>
      <c r="S64" s="103"/>
      <c r="T64" s="103"/>
      <c r="U64" s="103"/>
      <c r="V64" s="103"/>
      <c r="W64" s="103"/>
      <c r="X64" s="103"/>
      <c r="Y64" s="103"/>
      <c r="Z64" s="103"/>
      <c r="AA64" s="104"/>
    </row>
    <row r="65" spans="2:27" ht="15" customHeight="1" x14ac:dyDescent="0.25">
      <c r="B65" s="102"/>
      <c r="C65" s="103"/>
      <c r="D65" s="103"/>
      <c r="E65" s="103"/>
      <c r="F65" s="103"/>
      <c r="G65" s="103"/>
      <c r="H65" s="103"/>
      <c r="I65" s="103"/>
      <c r="J65" s="103"/>
      <c r="K65" s="103"/>
      <c r="L65" s="103"/>
      <c r="M65" s="103"/>
      <c r="N65" s="103"/>
      <c r="O65" s="103"/>
      <c r="P65" s="103"/>
      <c r="Q65" s="103"/>
      <c r="R65" s="103"/>
      <c r="S65" s="103"/>
      <c r="T65" s="103"/>
      <c r="U65" s="103"/>
      <c r="V65" s="103"/>
      <c r="W65" s="103"/>
      <c r="X65" s="103"/>
      <c r="Y65" s="103"/>
      <c r="Z65" s="103"/>
      <c r="AA65" s="104"/>
    </row>
    <row r="66" spans="2:27" s="1" customFormat="1" ht="15" customHeight="1" x14ac:dyDescent="0.25">
      <c r="B66" s="102"/>
      <c r="C66" s="103"/>
      <c r="D66" s="103"/>
      <c r="E66" s="103"/>
      <c r="F66" s="103"/>
      <c r="G66" s="103"/>
      <c r="H66" s="103"/>
      <c r="I66" s="103"/>
      <c r="J66" s="103"/>
      <c r="K66" s="103"/>
      <c r="L66" s="103"/>
      <c r="M66" s="103"/>
      <c r="N66" s="103"/>
      <c r="O66" s="103"/>
      <c r="P66" s="103"/>
      <c r="Q66" s="103"/>
      <c r="R66" s="103"/>
      <c r="S66" s="103"/>
      <c r="T66" s="103"/>
      <c r="U66" s="103"/>
      <c r="V66" s="103"/>
      <c r="W66" s="103"/>
      <c r="X66" s="103"/>
      <c r="Y66" s="103"/>
      <c r="Z66" s="103"/>
      <c r="AA66" s="104"/>
    </row>
    <row r="67" spans="2:27" s="1" customFormat="1" ht="15" customHeight="1" x14ac:dyDescent="0.25">
      <c r="B67" s="102"/>
      <c r="C67" s="103"/>
      <c r="D67" s="103"/>
      <c r="E67" s="103"/>
      <c r="F67" s="103"/>
      <c r="G67" s="103"/>
      <c r="H67" s="103"/>
      <c r="I67" s="103"/>
      <c r="J67" s="103"/>
      <c r="K67" s="103"/>
      <c r="L67" s="103"/>
      <c r="M67" s="103"/>
      <c r="N67" s="103"/>
      <c r="O67" s="103"/>
      <c r="P67" s="103"/>
      <c r="Q67" s="103"/>
      <c r="R67" s="103"/>
      <c r="S67" s="103"/>
      <c r="T67" s="103"/>
      <c r="U67" s="103"/>
      <c r="V67" s="103"/>
      <c r="W67" s="103"/>
      <c r="X67" s="103"/>
      <c r="Y67" s="103"/>
      <c r="Z67" s="103"/>
      <c r="AA67" s="104"/>
    </row>
    <row r="68" spans="2:27" s="1" customFormat="1" ht="15" customHeight="1" x14ac:dyDescent="0.25">
      <c r="B68" s="102"/>
      <c r="C68" s="103"/>
      <c r="D68" s="103"/>
      <c r="E68" s="103"/>
      <c r="F68" s="103"/>
      <c r="G68" s="103"/>
      <c r="H68" s="103"/>
      <c r="I68" s="103"/>
      <c r="J68" s="103"/>
      <c r="K68" s="103"/>
      <c r="L68" s="103"/>
      <c r="M68" s="103"/>
      <c r="N68" s="103"/>
      <c r="O68" s="103"/>
      <c r="P68" s="103"/>
      <c r="Q68" s="103"/>
      <c r="R68" s="103"/>
      <c r="S68" s="103"/>
      <c r="T68" s="103"/>
      <c r="U68" s="103"/>
      <c r="V68" s="103"/>
      <c r="W68" s="103"/>
      <c r="X68" s="103"/>
      <c r="Y68" s="103"/>
      <c r="Z68" s="103"/>
      <c r="AA68" s="104"/>
    </row>
    <row r="69" spans="2:27" s="1" customFormat="1" ht="15" customHeight="1" x14ac:dyDescent="0.25">
      <c r="B69" s="102"/>
      <c r="C69" s="103"/>
      <c r="D69" s="103"/>
      <c r="E69" s="103"/>
      <c r="F69" s="103"/>
      <c r="G69" s="103"/>
      <c r="H69" s="103"/>
      <c r="I69" s="103"/>
      <c r="J69" s="103"/>
      <c r="K69" s="103"/>
      <c r="L69" s="103"/>
      <c r="M69" s="103"/>
      <c r="N69" s="103"/>
      <c r="O69" s="103"/>
      <c r="P69" s="103"/>
      <c r="Q69" s="103"/>
      <c r="R69" s="103"/>
      <c r="S69" s="103"/>
      <c r="T69" s="103"/>
      <c r="U69" s="103"/>
      <c r="V69" s="103"/>
      <c r="W69" s="103"/>
      <c r="X69" s="103"/>
      <c r="Y69" s="103"/>
      <c r="Z69" s="103"/>
      <c r="AA69" s="104"/>
    </row>
    <row r="70" spans="2:27" s="1" customFormat="1" ht="15" customHeight="1" x14ac:dyDescent="0.25">
      <c r="B70" s="102"/>
      <c r="C70" s="103"/>
      <c r="D70" s="103"/>
      <c r="E70" s="103"/>
      <c r="F70" s="103"/>
      <c r="G70" s="103"/>
      <c r="H70" s="103"/>
      <c r="I70" s="103"/>
      <c r="J70" s="103"/>
      <c r="K70" s="103"/>
      <c r="L70" s="103"/>
      <c r="M70" s="103"/>
      <c r="N70" s="103"/>
      <c r="O70" s="103"/>
      <c r="P70" s="103"/>
      <c r="Q70" s="103"/>
      <c r="R70" s="103"/>
      <c r="S70" s="103"/>
      <c r="T70" s="103"/>
      <c r="U70" s="103"/>
      <c r="V70" s="103"/>
      <c r="W70" s="103"/>
      <c r="X70" s="103"/>
      <c r="Y70" s="103"/>
      <c r="Z70" s="103"/>
      <c r="AA70" s="104"/>
    </row>
    <row r="71" spans="2:27" s="1" customFormat="1" ht="15" customHeight="1" x14ac:dyDescent="0.25">
      <c r="B71" s="102"/>
      <c r="C71" s="103"/>
      <c r="D71" s="103"/>
      <c r="E71" s="103"/>
      <c r="F71" s="103"/>
      <c r="G71" s="103"/>
      <c r="H71" s="103"/>
      <c r="I71" s="103"/>
      <c r="J71" s="103"/>
      <c r="K71" s="103"/>
      <c r="L71" s="103"/>
      <c r="M71" s="103"/>
      <c r="N71" s="103"/>
      <c r="O71" s="103"/>
      <c r="P71" s="103"/>
      <c r="Q71" s="103"/>
      <c r="R71" s="103"/>
      <c r="S71" s="103"/>
      <c r="T71" s="103"/>
      <c r="U71" s="103"/>
      <c r="V71" s="103"/>
      <c r="W71" s="103"/>
      <c r="X71" s="103"/>
      <c r="Y71" s="103"/>
      <c r="Z71" s="103"/>
      <c r="AA71" s="104"/>
    </row>
    <row r="72" spans="2:27" s="1" customFormat="1" ht="15" customHeight="1" x14ac:dyDescent="0.25">
      <c r="B72" s="102"/>
      <c r="C72" s="103"/>
      <c r="D72" s="103"/>
      <c r="E72" s="103"/>
      <c r="F72" s="103"/>
      <c r="G72" s="103"/>
      <c r="H72" s="103"/>
      <c r="I72" s="103"/>
      <c r="J72" s="103"/>
      <c r="K72" s="103"/>
      <c r="L72" s="103"/>
      <c r="M72" s="103"/>
      <c r="N72" s="103"/>
      <c r="O72" s="103"/>
      <c r="P72" s="103"/>
      <c r="Q72" s="103"/>
      <c r="R72" s="103"/>
      <c r="S72" s="103"/>
      <c r="T72" s="103"/>
      <c r="U72" s="103"/>
      <c r="V72" s="103"/>
      <c r="W72" s="103"/>
      <c r="X72" s="103"/>
      <c r="Y72" s="103"/>
      <c r="Z72" s="103"/>
      <c r="AA72" s="104"/>
    </row>
    <row r="73" spans="2:27" s="1" customFormat="1" ht="15" customHeight="1" x14ac:dyDescent="0.25">
      <c r="B73" s="102"/>
      <c r="C73" s="103"/>
      <c r="D73" s="103"/>
      <c r="E73" s="103"/>
      <c r="F73" s="103"/>
      <c r="G73" s="103"/>
      <c r="H73" s="103"/>
      <c r="I73" s="103"/>
      <c r="J73" s="103"/>
      <c r="K73" s="103"/>
      <c r="L73" s="103"/>
      <c r="M73" s="103"/>
      <c r="N73" s="103"/>
      <c r="O73" s="103"/>
      <c r="P73" s="103"/>
      <c r="Q73" s="103"/>
      <c r="R73" s="103"/>
      <c r="S73" s="103"/>
      <c r="T73" s="103"/>
      <c r="U73" s="103"/>
      <c r="V73" s="103"/>
      <c r="W73" s="103"/>
      <c r="X73" s="103"/>
      <c r="Y73" s="103"/>
      <c r="Z73" s="103"/>
      <c r="AA73" s="104"/>
    </row>
    <row r="74" spans="2:27" s="1" customFormat="1" ht="15" customHeight="1" x14ac:dyDescent="0.25">
      <c r="B74" s="102"/>
      <c r="C74" s="103"/>
      <c r="D74" s="103"/>
      <c r="E74" s="103"/>
      <c r="F74" s="103"/>
      <c r="G74" s="103"/>
      <c r="H74" s="103"/>
      <c r="I74" s="103"/>
      <c r="J74" s="103"/>
      <c r="K74" s="103"/>
      <c r="L74" s="103"/>
      <c r="M74" s="103"/>
      <c r="N74" s="103"/>
      <c r="O74" s="103"/>
      <c r="P74" s="103"/>
      <c r="Q74" s="103"/>
      <c r="R74" s="103"/>
      <c r="S74" s="103"/>
      <c r="T74" s="103"/>
      <c r="U74" s="103"/>
      <c r="V74" s="103"/>
      <c r="W74" s="103"/>
      <c r="X74" s="103"/>
      <c r="Y74" s="103"/>
      <c r="Z74" s="103"/>
      <c r="AA74" s="104"/>
    </row>
    <row r="75" spans="2:27" s="1" customFormat="1" ht="15" customHeight="1" x14ac:dyDescent="0.25">
      <c r="B75" s="102"/>
      <c r="C75" s="103"/>
      <c r="D75" s="103"/>
      <c r="E75" s="103"/>
      <c r="F75" s="103"/>
      <c r="G75" s="103"/>
      <c r="H75" s="103"/>
      <c r="I75" s="103"/>
      <c r="J75" s="103"/>
      <c r="K75" s="103"/>
      <c r="L75" s="103"/>
      <c r="M75" s="103"/>
      <c r="N75" s="103"/>
      <c r="O75" s="103"/>
      <c r="P75" s="103"/>
      <c r="Q75" s="103"/>
      <c r="R75" s="103"/>
      <c r="S75" s="103"/>
      <c r="T75" s="103"/>
      <c r="U75" s="103"/>
      <c r="V75" s="103"/>
      <c r="W75" s="103"/>
      <c r="X75" s="103"/>
      <c r="Y75" s="103"/>
      <c r="Z75" s="103"/>
      <c r="AA75" s="104"/>
    </row>
    <row r="76" spans="2:27" s="1" customFormat="1" ht="15" customHeight="1" x14ac:dyDescent="0.25">
      <c r="B76" s="102"/>
      <c r="C76" s="103"/>
      <c r="D76" s="103"/>
      <c r="E76" s="103"/>
      <c r="F76" s="103"/>
      <c r="G76" s="103"/>
      <c r="H76" s="103"/>
      <c r="I76" s="103"/>
      <c r="J76" s="103"/>
      <c r="K76" s="103"/>
      <c r="L76" s="103"/>
      <c r="M76" s="103"/>
      <c r="N76" s="103"/>
      <c r="O76" s="103"/>
      <c r="P76" s="103"/>
      <c r="Q76" s="103"/>
      <c r="R76" s="103"/>
      <c r="S76" s="103"/>
      <c r="T76" s="103"/>
      <c r="U76" s="103"/>
      <c r="V76" s="103"/>
      <c r="W76" s="103"/>
      <c r="X76" s="103"/>
      <c r="Y76" s="103"/>
      <c r="Z76" s="103"/>
      <c r="AA76" s="104"/>
    </row>
    <row r="77" spans="2:27" s="1" customFormat="1" ht="15" customHeight="1" x14ac:dyDescent="0.25">
      <c r="B77" s="102"/>
      <c r="C77" s="103"/>
      <c r="D77" s="103"/>
      <c r="E77" s="103"/>
      <c r="F77" s="103"/>
      <c r="G77" s="103"/>
      <c r="H77" s="103"/>
      <c r="I77" s="103"/>
      <c r="J77" s="103"/>
      <c r="K77" s="103"/>
      <c r="L77" s="103"/>
      <c r="M77" s="103"/>
      <c r="N77" s="103"/>
      <c r="O77" s="103"/>
      <c r="P77" s="103"/>
      <c r="Q77" s="103"/>
      <c r="R77" s="103"/>
      <c r="S77" s="103"/>
      <c r="T77" s="103"/>
      <c r="U77" s="103"/>
      <c r="V77" s="103"/>
      <c r="W77" s="103"/>
      <c r="X77" s="103"/>
      <c r="Y77" s="103"/>
      <c r="Z77" s="103"/>
      <c r="AA77" s="104"/>
    </row>
    <row r="78" spans="2:27" s="1" customFormat="1" ht="15" customHeight="1" x14ac:dyDescent="0.25">
      <c r="B78" s="102"/>
      <c r="C78" s="103"/>
      <c r="D78" s="103"/>
      <c r="E78" s="103"/>
      <c r="F78" s="103"/>
      <c r="G78" s="103"/>
      <c r="H78" s="103"/>
      <c r="I78" s="103"/>
      <c r="J78" s="103"/>
      <c r="K78" s="103"/>
      <c r="L78" s="103"/>
      <c r="M78" s="103"/>
      <c r="N78" s="103"/>
      <c r="O78" s="103"/>
      <c r="P78" s="103"/>
      <c r="Q78" s="103"/>
      <c r="R78" s="103"/>
      <c r="S78" s="103"/>
      <c r="T78" s="103"/>
      <c r="U78" s="103"/>
      <c r="V78" s="103"/>
      <c r="W78" s="103"/>
      <c r="X78" s="103"/>
      <c r="Y78" s="103"/>
      <c r="Z78" s="103"/>
      <c r="AA78" s="104"/>
    </row>
    <row r="79" spans="2:27" s="1" customFormat="1" ht="15" customHeight="1" x14ac:dyDescent="0.25">
      <c r="B79" s="102"/>
      <c r="C79" s="103"/>
      <c r="D79" s="103"/>
      <c r="E79" s="103"/>
      <c r="F79" s="103"/>
      <c r="G79" s="103"/>
      <c r="H79" s="103"/>
      <c r="I79" s="103"/>
      <c r="J79" s="103"/>
      <c r="K79" s="103"/>
      <c r="L79" s="103"/>
      <c r="M79" s="103"/>
      <c r="N79" s="103"/>
      <c r="O79" s="103"/>
      <c r="P79" s="103"/>
      <c r="Q79" s="103"/>
      <c r="R79" s="103"/>
      <c r="S79" s="103"/>
      <c r="T79" s="103"/>
      <c r="U79" s="103"/>
      <c r="V79" s="103"/>
      <c r="W79" s="103"/>
      <c r="X79" s="103"/>
      <c r="Y79" s="103"/>
      <c r="Z79" s="103"/>
      <c r="AA79" s="104"/>
    </row>
    <row r="80" spans="2:27" s="1" customFormat="1" ht="15" customHeight="1" x14ac:dyDescent="0.25">
      <c r="B80" s="102"/>
      <c r="C80" s="103"/>
      <c r="D80" s="103"/>
      <c r="E80" s="103"/>
      <c r="F80" s="103"/>
      <c r="G80" s="103"/>
      <c r="H80" s="103"/>
      <c r="I80" s="103"/>
      <c r="J80" s="103"/>
      <c r="K80" s="103"/>
      <c r="L80" s="103"/>
      <c r="M80" s="103"/>
      <c r="N80" s="103"/>
      <c r="O80" s="103"/>
      <c r="P80" s="103"/>
      <c r="Q80" s="103"/>
      <c r="R80" s="103"/>
      <c r="S80" s="103"/>
      <c r="T80" s="103"/>
      <c r="U80" s="103"/>
      <c r="V80" s="103"/>
      <c r="W80" s="103"/>
      <c r="X80" s="103"/>
      <c r="Y80" s="103"/>
      <c r="Z80" s="103"/>
      <c r="AA80" s="104"/>
    </row>
    <row r="81" spans="2:27" s="1" customFormat="1" ht="15" customHeight="1" x14ac:dyDescent="0.25">
      <c r="B81" s="102"/>
      <c r="C81" s="103"/>
      <c r="D81" s="103"/>
      <c r="E81" s="103"/>
      <c r="F81" s="103"/>
      <c r="G81" s="103"/>
      <c r="H81" s="103"/>
      <c r="I81" s="103"/>
      <c r="J81" s="103"/>
      <c r="K81" s="103"/>
      <c r="L81" s="103"/>
      <c r="M81" s="103"/>
      <c r="N81" s="103"/>
      <c r="O81" s="103"/>
      <c r="P81" s="103"/>
      <c r="Q81" s="103"/>
      <c r="R81" s="103"/>
      <c r="S81" s="103"/>
      <c r="T81" s="103"/>
      <c r="U81" s="103"/>
      <c r="V81" s="103"/>
      <c r="W81" s="103"/>
      <c r="X81" s="103"/>
      <c r="Y81" s="103"/>
      <c r="Z81" s="103"/>
      <c r="AA81" s="104"/>
    </row>
    <row r="82" spans="2:27" s="1" customFormat="1" ht="15" customHeight="1" x14ac:dyDescent="0.25">
      <c r="B82" s="102"/>
      <c r="C82" s="103"/>
      <c r="D82" s="103"/>
      <c r="E82" s="103"/>
      <c r="F82" s="103"/>
      <c r="G82" s="103"/>
      <c r="H82" s="103"/>
      <c r="I82" s="103"/>
      <c r="J82" s="103"/>
      <c r="K82" s="103"/>
      <c r="L82" s="103"/>
      <c r="M82" s="103"/>
      <c r="N82" s="103"/>
      <c r="O82" s="103"/>
      <c r="P82" s="103"/>
      <c r="Q82" s="103"/>
      <c r="R82" s="103"/>
      <c r="S82" s="103"/>
      <c r="T82" s="103"/>
      <c r="U82" s="103"/>
      <c r="V82" s="103"/>
      <c r="W82" s="103"/>
      <c r="X82" s="103"/>
      <c r="Y82" s="103"/>
      <c r="Z82" s="103"/>
      <c r="AA82" s="104"/>
    </row>
    <row r="83" spans="2:27" s="1" customFormat="1" ht="15" customHeight="1" x14ac:dyDescent="0.25">
      <c r="B83" s="102"/>
      <c r="C83" s="103"/>
      <c r="D83" s="103"/>
      <c r="E83" s="103"/>
      <c r="F83" s="103"/>
      <c r="G83" s="103"/>
      <c r="H83" s="103"/>
      <c r="I83" s="103"/>
      <c r="J83" s="103"/>
      <c r="K83" s="103"/>
      <c r="L83" s="103"/>
      <c r="M83" s="103"/>
      <c r="N83" s="103"/>
      <c r="O83" s="103"/>
      <c r="P83" s="103"/>
      <c r="Q83" s="103"/>
      <c r="R83" s="103"/>
      <c r="S83" s="103"/>
      <c r="T83" s="103"/>
      <c r="U83" s="103"/>
      <c r="V83" s="103"/>
      <c r="W83" s="103"/>
      <c r="X83" s="103"/>
      <c r="Y83" s="103"/>
      <c r="Z83" s="103"/>
      <c r="AA83" s="104"/>
    </row>
    <row r="84" spans="2:27" s="1" customFormat="1" ht="15" customHeight="1" x14ac:dyDescent="0.25">
      <c r="B84" s="102"/>
      <c r="C84" s="103"/>
      <c r="D84" s="103"/>
      <c r="E84" s="103"/>
      <c r="F84" s="103"/>
      <c r="G84" s="103"/>
      <c r="H84" s="103"/>
      <c r="I84" s="103"/>
      <c r="J84" s="103"/>
      <c r="K84" s="103"/>
      <c r="L84" s="103"/>
      <c r="M84" s="103"/>
      <c r="N84" s="103"/>
      <c r="O84" s="103"/>
      <c r="P84" s="103"/>
      <c r="Q84" s="103"/>
      <c r="R84" s="103"/>
      <c r="S84" s="103"/>
      <c r="T84" s="103"/>
      <c r="U84" s="103"/>
      <c r="V84" s="103"/>
      <c r="W84" s="103"/>
      <c r="X84" s="103"/>
      <c r="Y84" s="103"/>
      <c r="Z84" s="103"/>
      <c r="AA84" s="104"/>
    </row>
    <row r="85" spans="2:27" s="1" customFormat="1" ht="15" customHeight="1" x14ac:dyDescent="0.25">
      <c r="B85" s="102"/>
      <c r="C85" s="103"/>
      <c r="D85" s="103"/>
      <c r="E85" s="103"/>
      <c r="F85" s="103"/>
      <c r="G85" s="103"/>
      <c r="H85" s="103"/>
      <c r="I85" s="103"/>
      <c r="J85" s="103"/>
      <c r="K85" s="103"/>
      <c r="L85" s="103"/>
      <c r="M85" s="103"/>
      <c r="N85" s="103"/>
      <c r="O85" s="103"/>
      <c r="P85" s="103"/>
      <c r="Q85" s="103"/>
      <c r="R85" s="103"/>
      <c r="S85" s="103"/>
      <c r="T85" s="103"/>
      <c r="U85" s="103"/>
      <c r="V85" s="103"/>
      <c r="W85" s="103"/>
      <c r="X85" s="103"/>
      <c r="Y85" s="103"/>
      <c r="Z85" s="103"/>
      <c r="AA85" s="104"/>
    </row>
    <row r="86" spans="2:27" s="1" customFormat="1" ht="15" customHeight="1" x14ac:dyDescent="0.25">
      <c r="B86" s="102"/>
      <c r="C86" s="103"/>
      <c r="D86" s="103"/>
      <c r="E86" s="103"/>
      <c r="F86" s="103"/>
      <c r="G86" s="103"/>
      <c r="H86" s="103"/>
      <c r="I86" s="103"/>
      <c r="J86" s="103"/>
      <c r="K86" s="103"/>
      <c r="L86" s="103"/>
      <c r="M86" s="103"/>
      <c r="N86" s="103"/>
      <c r="O86" s="103"/>
      <c r="P86" s="103"/>
      <c r="Q86" s="103"/>
      <c r="R86" s="103"/>
      <c r="S86" s="103"/>
      <c r="T86" s="103"/>
      <c r="U86" s="103"/>
      <c r="V86" s="103"/>
      <c r="W86" s="103"/>
      <c r="X86" s="103"/>
      <c r="Y86" s="103"/>
      <c r="Z86" s="103"/>
      <c r="AA86" s="104"/>
    </row>
    <row r="87" spans="2:27" s="1" customFormat="1" ht="15" customHeight="1" x14ac:dyDescent="0.25">
      <c r="B87" s="105"/>
      <c r="C87" s="106"/>
      <c r="D87" s="106"/>
      <c r="E87" s="106"/>
      <c r="F87" s="106"/>
      <c r="G87" s="106"/>
      <c r="H87" s="106"/>
      <c r="I87" s="106"/>
      <c r="J87" s="106"/>
      <c r="K87" s="106"/>
      <c r="L87" s="106"/>
      <c r="M87" s="106"/>
      <c r="N87" s="106"/>
      <c r="O87" s="106"/>
      <c r="P87" s="106"/>
      <c r="Q87" s="106"/>
      <c r="R87" s="106"/>
      <c r="S87" s="106"/>
      <c r="T87" s="106"/>
      <c r="U87" s="106"/>
      <c r="V87" s="106"/>
      <c r="W87" s="106"/>
      <c r="X87" s="106"/>
      <c r="Y87" s="106"/>
      <c r="Z87" s="106"/>
      <c r="AA87" s="107"/>
    </row>
    <row r="88" spans="2:27" ht="15" customHeight="1" x14ac:dyDescent="0.25"/>
    <row r="89" spans="2:27" ht="18.75" customHeight="1" thickBot="1" x14ac:dyDescent="0.3">
      <c r="B89" s="108" t="s">
        <v>183</v>
      </c>
      <c r="C89" s="109"/>
      <c r="D89" s="109"/>
      <c r="E89" s="109"/>
      <c r="F89" s="109"/>
      <c r="G89" s="109"/>
      <c r="H89" s="109"/>
      <c r="I89" s="109"/>
      <c r="J89" s="109"/>
      <c r="K89" s="109"/>
      <c r="L89" s="109"/>
      <c r="M89" s="109"/>
      <c r="N89" s="109"/>
      <c r="O89" s="109"/>
      <c r="P89" s="109"/>
      <c r="Q89" s="109"/>
      <c r="R89" s="109"/>
      <c r="S89" s="109"/>
      <c r="T89" s="109"/>
      <c r="U89" s="109"/>
      <c r="V89" s="109"/>
      <c r="W89" s="109"/>
      <c r="X89" s="109"/>
      <c r="Y89" s="109"/>
      <c r="Z89" s="109"/>
      <c r="AA89" s="110"/>
    </row>
    <row r="90" spans="2:27" ht="15" customHeight="1" thickTop="1" x14ac:dyDescent="0.25">
      <c r="B90" s="99"/>
      <c r="C90" s="100"/>
      <c r="D90" s="100"/>
      <c r="E90" s="100"/>
      <c r="F90" s="100"/>
      <c r="G90" s="100"/>
      <c r="H90" s="100"/>
      <c r="I90" s="100"/>
      <c r="J90" s="100"/>
      <c r="K90" s="100"/>
      <c r="L90" s="100"/>
      <c r="M90" s="100"/>
      <c r="N90" s="100"/>
      <c r="O90" s="100"/>
      <c r="P90" s="100"/>
      <c r="Q90" s="100"/>
      <c r="R90" s="100"/>
      <c r="S90" s="100"/>
      <c r="T90" s="100"/>
      <c r="U90" s="100"/>
      <c r="V90" s="100"/>
      <c r="W90" s="100"/>
      <c r="X90" s="100"/>
      <c r="Y90" s="100"/>
      <c r="Z90" s="100"/>
      <c r="AA90" s="101"/>
    </row>
    <row r="91" spans="2:27" ht="15" customHeight="1" x14ac:dyDescent="0.25">
      <c r="B91" s="102"/>
      <c r="C91" s="103"/>
      <c r="D91" s="103"/>
      <c r="E91" s="103"/>
      <c r="F91" s="103"/>
      <c r="G91" s="103"/>
      <c r="H91" s="103"/>
      <c r="I91" s="103"/>
      <c r="J91" s="103"/>
      <c r="K91" s="103"/>
      <c r="L91" s="103"/>
      <c r="M91" s="103"/>
      <c r="N91" s="103"/>
      <c r="O91" s="103"/>
      <c r="P91" s="103"/>
      <c r="Q91" s="103"/>
      <c r="R91" s="103"/>
      <c r="S91" s="103"/>
      <c r="T91" s="103"/>
      <c r="U91" s="103"/>
      <c r="V91" s="103"/>
      <c r="W91" s="103"/>
      <c r="X91" s="103"/>
      <c r="Y91" s="103"/>
      <c r="Z91" s="103"/>
      <c r="AA91" s="104"/>
    </row>
    <row r="92" spans="2:27" ht="15" customHeight="1" x14ac:dyDescent="0.25">
      <c r="B92" s="102"/>
      <c r="C92" s="103"/>
      <c r="D92" s="103"/>
      <c r="E92" s="103"/>
      <c r="F92" s="103"/>
      <c r="G92" s="103"/>
      <c r="H92" s="103"/>
      <c r="I92" s="103"/>
      <c r="J92" s="103"/>
      <c r="K92" s="103"/>
      <c r="L92" s="103"/>
      <c r="M92" s="103"/>
      <c r="N92" s="103"/>
      <c r="O92" s="103"/>
      <c r="P92" s="103"/>
      <c r="Q92" s="103"/>
      <c r="R92" s="103"/>
      <c r="S92" s="103"/>
      <c r="T92" s="103"/>
      <c r="U92" s="103"/>
      <c r="V92" s="103"/>
      <c r="W92" s="103"/>
      <c r="X92" s="103"/>
      <c r="Y92" s="103"/>
      <c r="Z92" s="103"/>
      <c r="AA92" s="104"/>
    </row>
    <row r="93" spans="2:27" ht="15" customHeight="1" x14ac:dyDescent="0.25">
      <c r="B93" s="102"/>
      <c r="C93" s="103"/>
      <c r="D93" s="103"/>
      <c r="E93" s="103"/>
      <c r="F93" s="103"/>
      <c r="G93" s="103"/>
      <c r="H93" s="103"/>
      <c r="I93" s="103"/>
      <c r="J93" s="103"/>
      <c r="K93" s="103"/>
      <c r="L93" s="103"/>
      <c r="M93" s="103"/>
      <c r="N93" s="103"/>
      <c r="O93" s="103"/>
      <c r="P93" s="103"/>
      <c r="Q93" s="103"/>
      <c r="R93" s="103"/>
      <c r="S93" s="103"/>
      <c r="T93" s="103"/>
      <c r="U93" s="103"/>
      <c r="V93" s="103"/>
      <c r="W93" s="103"/>
      <c r="X93" s="103"/>
      <c r="Y93" s="103"/>
      <c r="Z93" s="103"/>
      <c r="AA93" s="104"/>
    </row>
    <row r="94" spans="2:27" ht="15" customHeight="1" x14ac:dyDescent="0.25">
      <c r="B94" s="102"/>
      <c r="C94" s="103"/>
      <c r="D94" s="103"/>
      <c r="E94" s="103"/>
      <c r="F94" s="103"/>
      <c r="G94" s="103"/>
      <c r="H94" s="103"/>
      <c r="I94" s="103"/>
      <c r="J94" s="103"/>
      <c r="K94" s="103"/>
      <c r="L94" s="103"/>
      <c r="M94" s="103"/>
      <c r="N94" s="103"/>
      <c r="O94" s="103"/>
      <c r="P94" s="103"/>
      <c r="Q94" s="103"/>
      <c r="R94" s="103"/>
      <c r="S94" s="103"/>
      <c r="T94" s="103"/>
      <c r="U94" s="103"/>
      <c r="V94" s="103"/>
      <c r="W94" s="103"/>
      <c r="X94" s="103"/>
      <c r="Y94" s="103"/>
      <c r="Z94" s="103"/>
      <c r="AA94" s="104"/>
    </row>
    <row r="95" spans="2:27" ht="15" customHeight="1" x14ac:dyDescent="0.25">
      <c r="B95" s="102"/>
      <c r="C95" s="103"/>
      <c r="D95" s="103"/>
      <c r="E95" s="103"/>
      <c r="F95" s="103"/>
      <c r="G95" s="103"/>
      <c r="H95" s="103"/>
      <c r="I95" s="103"/>
      <c r="J95" s="103"/>
      <c r="K95" s="103"/>
      <c r="L95" s="103"/>
      <c r="M95" s="103"/>
      <c r="N95" s="103"/>
      <c r="O95" s="103"/>
      <c r="P95" s="103"/>
      <c r="Q95" s="103"/>
      <c r="R95" s="103"/>
      <c r="S95" s="103"/>
      <c r="T95" s="103"/>
      <c r="U95" s="103"/>
      <c r="V95" s="103"/>
      <c r="W95" s="103"/>
      <c r="X95" s="103"/>
      <c r="Y95" s="103"/>
      <c r="Z95" s="103"/>
      <c r="AA95" s="104"/>
    </row>
    <row r="96" spans="2:27" ht="15" customHeight="1" x14ac:dyDescent="0.25">
      <c r="B96" s="102"/>
      <c r="C96" s="103"/>
      <c r="D96" s="103"/>
      <c r="E96" s="103"/>
      <c r="F96" s="103"/>
      <c r="G96" s="103"/>
      <c r="H96" s="103"/>
      <c r="I96" s="103"/>
      <c r="J96" s="103"/>
      <c r="K96" s="103"/>
      <c r="L96" s="103"/>
      <c r="M96" s="103"/>
      <c r="N96" s="103"/>
      <c r="O96" s="103"/>
      <c r="P96" s="103"/>
      <c r="Q96" s="103"/>
      <c r="R96" s="103"/>
      <c r="S96" s="103"/>
      <c r="T96" s="103"/>
      <c r="U96" s="103"/>
      <c r="V96" s="103"/>
      <c r="W96" s="103"/>
      <c r="X96" s="103"/>
      <c r="Y96" s="103"/>
      <c r="Z96" s="103"/>
      <c r="AA96" s="104"/>
    </row>
    <row r="97" spans="2:27" ht="15" customHeight="1" x14ac:dyDescent="0.25">
      <c r="B97" s="102"/>
      <c r="C97" s="103"/>
      <c r="D97" s="103"/>
      <c r="E97" s="103"/>
      <c r="F97" s="103"/>
      <c r="G97" s="103"/>
      <c r="H97" s="103"/>
      <c r="I97" s="103"/>
      <c r="J97" s="103"/>
      <c r="K97" s="103"/>
      <c r="L97" s="103"/>
      <c r="M97" s="103"/>
      <c r="N97" s="103"/>
      <c r="O97" s="103"/>
      <c r="P97" s="103"/>
      <c r="Q97" s="103"/>
      <c r="R97" s="103"/>
      <c r="S97" s="103"/>
      <c r="T97" s="103"/>
      <c r="U97" s="103"/>
      <c r="V97" s="103"/>
      <c r="W97" s="103"/>
      <c r="X97" s="103"/>
      <c r="Y97" s="103"/>
      <c r="Z97" s="103"/>
      <c r="AA97" s="104"/>
    </row>
    <row r="98" spans="2:27" ht="15" customHeight="1" x14ac:dyDescent="0.25">
      <c r="B98" s="102"/>
      <c r="C98" s="103"/>
      <c r="D98" s="103"/>
      <c r="E98" s="103"/>
      <c r="F98" s="103"/>
      <c r="G98" s="103"/>
      <c r="H98" s="103"/>
      <c r="I98" s="103"/>
      <c r="J98" s="103"/>
      <c r="K98" s="103"/>
      <c r="L98" s="103"/>
      <c r="M98" s="103"/>
      <c r="N98" s="103"/>
      <c r="O98" s="103"/>
      <c r="P98" s="103"/>
      <c r="Q98" s="103"/>
      <c r="R98" s="103"/>
      <c r="S98" s="103"/>
      <c r="T98" s="103"/>
      <c r="U98" s="103"/>
      <c r="V98" s="103"/>
      <c r="W98" s="103"/>
      <c r="X98" s="103"/>
      <c r="Y98" s="103"/>
      <c r="Z98" s="103"/>
      <c r="AA98" s="104"/>
    </row>
    <row r="99" spans="2:27" ht="15" customHeight="1" x14ac:dyDescent="0.25">
      <c r="B99" s="102"/>
      <c r="C99" s="103"/>
      <c r="D99" s="103"/>
      <c r="E99" s="103"/>
      <c r="F99" s="103"/>
      <c r="G99" s="103"/>
      <c r="H99" s="103"/>
      <c r="I99" s="103"/>
      <c r="J99" s="103"/>
      <c r="K99" s="103"/>
      <c r="L99" s="103"/>
      <c r="M99" s="103"/>
      <c r="N99" s="103"/>
      <c r="O99" s="103"/>
      <c r="P99" s="103"/>
      <c r="Q99" s="103"/>
      <c r="R99" s="103"/>
      <c r="S99" s="103"/>
      <c r="T99" s="103"/>
      <c r="U99" s="103"/>
      <c r="V99" s="103"/>
      <c r="W99" s="103"/>
      <c r="X99" s="103"/>
      <c r="Y99" s="103"/>
      <c r="Z99" s="103"/>
      <c r="AA99" s="104"/>
    </row>
    <row r="100" spans="2:27" ht="15" customHeight="1" x14ac:dyDescent="0.25">
      <c r="B100" s="102"/>
      <c r="C100" s="103"/>
      <c r="D100" s="103"/>
      <c r="E100" s="103"/>
      <c r="F100" s="103"/>
      <c r="G100" s="103"/>
      <c r="H100" s="103"/>
      <c r="I100" s="103"/>
      <c r="J100" s="103"/>
      <c r="K100" s="103"/>
      <c r="L100" s="103"/>
      <c r="M100" s="103"/>
      <c r="N100" s="103"/>
      <c r="O100" s="103"/>
      <c r="P100" s="103"/>
      <c r="Q100" s="103"/>
      <c r="R100" s="103"/>
      <c r="S100" s="103"/>
      <c r="T100" s="103"/>
      <c r="U100" s="103"/>
      <c r="V100" s="103"/>
      <c r="W100" s="103"/>
      <c r="X100" s="103"/>
      <c r="Y100" s="103"/>
      <c r="Z100" s="103"/>
      <c r="AA100" s="104"/>
    </row>
    <row r="101" spans="2:27" ht="15" customHeight="1" x14ac:dyDescent="0.25">
      <c r="B101" s="102"/>
      <c r="C101" s="103"/>
      <c r="D101" s="103"/>
      <c r="E101" s="103"/>
      <c r="F101" s="103"/>
      <c r="G101" s="103"/>
      <c r="H101" s="103"/>
      <c r="I101" s="103"/>
      <c r="J101" s="103"/>
      <c r="K101" s="103"/>
      <c r="L101" s="103"/>
      <c r="M101" s="103"/>
      <c r="N101" s="103"/>
      <c r="O101" s="103"/>
      <c r="P101" s="103"/>
      <c r="Q101" s="103"/>
      <c r="R101" s="103"/>
      <c r="S101" s="103"/>
      <c r="T101" s="103"/>
      <c r="U101" s="103"/>
      <c r="V101" s="103"/>
      <c r="W101" s="103"/>
      <c r="X101" s="103"/>
      <c r="Y101" s="103"/>
      <c r="Z101" s="103"/>
      <c r="AA101" s="104"/>
    </row>
    <row r="102" spans="2:27" ht="15" customHeight="1" x14ac:dyDescent="0.25">
      <c r="B102" s="102"/>
      <c r="C102" s="103"/>
      <c r="D102" s="103"/>
      <c r="E102" s="103"/>
      <c r="F102" s="103"/>
      <c r="G102" s="103"/>
      <c r="H102" s="103"/>
      <c r="I102" s="103"/>
      <c r="J102" s="103"/>
      <c r="K102" s="103"/>
      <c r="L102" s="103"/>
      <c r="M102" s="103"/>
      <c r="N102" s="103"/>
      <c r="O102" s="103"/>
      <c r="P102" s="103"/>
      <c r="Q102" s="103"/>
      <c r="R102" s="103"/>
      <c r="S102" s="103"/>
      <c r="T102" s="103"/>
      <c r="U102" s="103"/>
      <c r="V102" s="103"/>
      <c r="W102" s="103"/>
      <c r="X102" s="103"/>
      <c r="Y102" s="103"/>
      <c r="Z102" s="103"/>
      <c r="AA102" s="104"/>
    </row>
    <row r="103" spans="2:27" ht="15" customHeight="1" x14ac:dyDescent="0.25">
      <c r="B103" s="102"/>
      <c r="C103" s="103"/>
      <c r="D103" s="103"/>
      <c r="E103" s="103"/>
      <c r="F103" s="103"/>
      <c r="G103" s="103"/>
      <c r="H103" s="103"/>
      <c r="I103" s="103"/>
      <c r="J103" s="103"/>
      <c r="K103" s="103"/>
      <c r="L103" s="103"/>
      <c r="M103" s="103"/>
      <c r="N103" s="103"/>
      <c r="O103" s="103"/>
      <c r="P103" s="103"/>
      <c r="Q103" s="103"/>
      <c r="R103" s="103"/>
      <c r="S103" s="103"/>
      <c r="T103" s="103"/>
      <c r="U103" s="103"/>
      <c r="V103" s="103"/>
      <c r="W103" s="103"/>
      <c r="X103" s="103"/>
      <c r="Y103" s="103"/>
      <c r="Z103" s="103"/>
      <c r="AA103" s="104"/>
    </row>
    <row r="104" spans="2:27" ht="15" customHeight="1" x14ac:dyDescent="0.25">
      <c r="B104" s="102"/>
      <c r="C104" s="103"/>
      <c r="D104" s="103"/>
      <c r="E104" s="103"/>
      <c r="F104" s="103"/>
      <c r="G104" s="103"/>
      <c r="H104" s="103"/>
      <c r="I104" s="103"/>
      <c r="J104" s="103"/>
      <c r="K104" s="103"/>
      <c r="L104" s="103"/>
      <c r="M104" s="103"/>
      <c r="N104" s="103"/>
      <c r="O104" s="103"/>
      <c r="P104" s="103"/>
      <c r="Q104" s="103"/>
      <c r="R104" s="103"/>
      <c r="S104" s="103"/>
      <c r="T104" s="103"/>
      <c r="U104" s="103"/>
      <c r="V104" s="103"/>
      <c r="W104" s="103"/>
      <c r="X104" s="103"/>
      <c r="Y104" s="103"/>
      <c r="Z104" s="103"/>
      <c r="AA104" s="104"/>
    </row>
    <row r="105" spans="2:27" ht="15" customHeight="1" x14ac:dyDescent="0.25">
      <c r="B105" s="102"/>
      <c r="C105" s="103"/>
      <c r="D105" s="103"/>
      <c r="E105" s="103"/>
      <c r="F105" s="103"/>
      <c r="G105" s="103"/>
      <c r="H105" s="103"/>
      <c r="I105" s="103"/>
      <c r="J105" s="103"/>
      <c r="K105" s="103"/>
      <c r="L105" s="103"/>
      <c r="M105" s="103"/>
      <c r="N105" s="103"/>
      <c r="O105" s="103"/>
      <c r="P105" s="103"/>
      <c r="Q105" s="103"/>
      <c r="R105" s="103"/>
      <c r="S105" s="103"/>
      <c r="T105" s="103"/>
      <c r="U105" s="103"/>
      <c r="V105" s="103"/>
      <c r="W105" s="103"/>
      <c r="X105" s="103"/>
      <c r="Y105" s="103"/>
      <c r="Z105" s="103"/>
      <c r="AA105" s="104"/>
    </row>
    <row r="106" spans="2:27" ht="15" customHeight="1" x14ac:dyDescent="0.25">
      <c r="B106" s="102"/>
      <c r="C106" s="103"/>
      <c r="D106" s="103"/>
      <c r="E106" s="103"/>
      <c r="F106" s="103"/>
      <c r="G106" s="103"/>
      <c r="H106" s="103"/>
      <c r="I106" s="103"/>
      <c r="J106" s="103"/>
      <c r="K106" s="103"/>
      <c r="L106" s="103"/>
      <c r="M106" s="103"/>
      <c r="N106" s="103"/>
      <c r="O106" s="103"/>
      <c r="P106" s="103"/>
      <c r="Q106" s="103"/>
      <c r="R106" s="103"/>
      <c r="S106" s="103"/>
      <c r="T106" s="103"/>
      <c r="U106" s="103"/>
      <c r="V106" s="103"/>
      <c r="W106" s="103"/>
      <c r="X106" s="103"/>
      <c r="Y106" s="103"/>
      <c r="Z106" s="103"/>
      <c r="AA106" s="104"/>
    </row>
    <row r="107" spans="2:27" ht="15" customHeight="1" x14ac:dyDescent="0.25">
      <c r="B107" s="102"/>
      <c r="C107" s="103"/>
      <c r="D107" s="103"/>
      <c r="E107" s="103"/>
      <c r="F107" s="103"/>
      <c r="G107" s="103"/>
      <c r="H107" s="103"/>
      <c r="I107" s="103"/>
      <c r="J107" s="103"/>
      <c r="K107" s="103"/>
      <c r="L107" s="103"/>
      <c r="M107" s="103"/>
      <c r="N107" s="103"/>
      <c r="O107" s="103"/>
      <c r="P107" s="103"/>
      <c r="Q107" s="103"/>
      <c r="R107" s="103"/>
      <c r="S107" s="103"/>
      <c r="T107" s="103"/>
      <c r="U107" s="103"/>
      <c r="V107" s="103"/>
      <c r="W107" s="103"/>
      <c r="X107" s="103"/>
      <c r="Y107" s="103"/>
      <c r="Z107" s="103"/>
      <c r="AA107" s="104"/>
    </row>
    <row r="108" spans="2:27" ht="15" customHeight="1" x14ac:dyDescent="0.25">
      <c r="B108" s="102"/>
      <c r="C108" s="103"/>
      <c r="D108" s="103"/>
      <c r="E108" s="103"/>
      <c r="F108" s="103"/>
      <c r="G108" s="103"/>
      <c r="H108" s="103"/>
      <c r="I108" s="103"/>
      <c r="J108" s="103"/>
      <c r="K108" s="103"/>
      <c r="L108" s="103"/>
      <c r="M108" s="103"/>
      <c r="N108" s="103"/>
      <c r="O108" s="103"/>
      <c r="P108" s="103"/>
      <c r="Q108" s="103"/>
      <c r="R108" s="103"/>
      <c r="S108" s="103"/>
      <c r="T108" s="103"/>
      <c r="U108" s="103"/>
      <c r="V108" s="103"/>
      <c r="W108" s="103"/>
      <c r="X108" s="103"/>
      <c r="Y108" s="103"/>
      <c r="Z108" s="103"/>
      <c r="AA108" s="104"/>
    </row>
    <row r="109" spans="2:27" ht="15" customHeight="1" x14ac:dyDescent="0.25">
      <c r="B109" s="102"/>
      <c r="C109" s="103"/>
      <c r="D109" s="103"/>
      <c r="E109" s="103"/>
      <c r="F109" s="103"/>
      <c r="G109" s="103"/>
      <c r="H109" s="103"/>
      <c r="I109" s="103"/>
      <c r="J109" s="103"/>
      <c r="K109" s="103"/>
      <c r="L109" s="103"/>
      <c r="M109" s="103"/>
      <c r="N109" s="103"/>
      <c r="O109" s="103"/>
      <c r="P109" s="103"/>
      <c r="Q109" s="103"/>
      <c r="R109" s="103"/>
      <c r="S109" s="103"/>
      <c r="T109" s="103"/>
      <c r="U109" s="103"/>
      <c r="V109" s="103"/>
      <c r="W109" s="103"/>
      <c r="X109" s="103"/>
      <c r="Y109" s="103"/>
      <c r="Z109" s="103"/>
      <c r="AA109" s="104"/>
    </row>
    <row r="110" spans="2:27" ht="15" customHeight="1" x14ac:dyDescent="0.25">
      <c r="B110" s="102"/>
      <c r="C110" s="103"/>
      <c r="D110" s="103"/>
      <c r="E110" s="103"/>
      <c r="F110" s="103"/>
      <c r="G110" s="103"/>
      <c r="H110" s="103"/>
      <c r="I110" s="103"/>
      <c r="J110" s="103"/>
      <c r="K110" s="103"/>
      <c r="L110" s="103"/>
      <c r="M110" s="103"/>
      <c r="N110" s="103"/>
      <c r="O110" s="103"/>
      <c r="P110" s="103"/>
      <c r="Q110" s="103"/>
      <c r="R110" s="103"/>
      <c r="S110" s="103"/>
      <c r="T110" s="103"/>
      <c r="U110" s="103"/>
      <c r="V110" s="103"/>
      <c r="W110" s="103"/>
      <c r="X110" s="103"/>
      <c r="Y110" s="103"/>
      <c r="Z110" s="103"/>
      <c r="AA110" s="104"/>
    </row>
    <row r="111" spans="2:27" ht="15" customHeight="1" x14ac:dyDescent="0.25">
      <c r="B111" s="102"/>
      <c r="C111" s="103"/>
      <c r="D111" s="103"/>
      <c r="E111" s="103"/>
      <c r="F111" s="103"/>
      <c r="G111" s="103"/>
      <c r="H111" s="103"/>
      <c r="I111" s="103"/>
      <c r="J111" s="103"/>
      <c r="K111" s="103"/>
      <c r="L111" s="103"/>
      <c r="M111" s="103"/>
      <c r="N111" s="103"/>
      <c r="O111" s="103"/>
      <c r="P111" s="103"/>
      <c r="Q111" s="103"/>
      <c r="R111" s="103"/>
      <c r="S111" s="103"/>
      <c r="T111" s="103"/>
      <c r="U111" s="103"/>
      <c r="V111" s="103"/>
      <c r="W111" s="103"/>
      <c r="X111" s="103"/>
      <c r="Y111" s="103"/>
      <c r="Z111" s="103"/>
      <c r="AA111" s="104"/>
    </row>
    <row r="112" spans="2:27" s="1" customFormat="1" ht="15" customHeight="1" x14ac:dyDescent="0.25">
      <c r="B112" s="102"/>
      <c r="C112" s="103"/>
      <c r="D112" s="103"/>
      <c r="E112" s="103"/>
      <c r="F112" s="103"/>
      <c r="G112" s="103"/>
      <c r="H112" s="103"/>
      <c r="I112" s="103"/>
      <c r="J112" s="103"/>
      <c r="K112" s="103"/>
      <c r="L112" s="103"/>
      <c r="M112" s="103"/>
      <c r="N112" s="103"/>
      <c r="O112" s="103"/>
      <c r="P112" s="103"/>
      <c r="Q112" s="103"/>
      <c r="R112" s="103"/>
      <c r="S112" s="103"/>
      <c r="T112" s="103"/>
      <c r="U112" s="103"/>
      <c r="V112" s="103"/>
      <c r="W112" s="103"/>
      <c r="X112" s="103"/>
      <c r="Y112" s="103"/>
      <c r="Z112" s="103"/>
      <c r="AA112" s="104"/>
    </row>
    <row r="113" spans="2:27" s="1" customFormat="1" ht="15" customHeight="1" x14ac:dyDescent="0.25">
      <c r="B113" s="102"/>
      <c r="C113" s="103"/>
      <c r="D113" s="103"/>
      <c r="E113" s="103"/>
      <c r="F113" s="103"/>
      <c r="G113" s="103"/>
      <c r="H113" s="103"/>
      <c r="I113" s="103"/>
      <c r="J113" s="103"/>
      <c r="K113" s="103"/>
      <c r="L113" s="103"/>
      <c r="M113" s="103"/>
      <c r="N113" s="103"/>
      <c r="O113" s="103"/>
      <c r="P113" s="103"/>
      <c r="Q113" s="103"/>
      <c r="R113" s="103"/>
      <c r="S113" s="103"/>
      <c r="T113" s="103"/>
      <c r="U113" s="103"/>
      <c r="V113" s="103"/>
      <c r="W113" s="103"/>
      <c r="X113" s="103"/>
      <c r="Y113" s="103"/>
      <c r="Z113" s="103"/>
      <c r="AA113" s="104"/>
    </row>
    <row r="114" spans="2:27" s="1" customFormat="1" ht="15" customHeight="1" x14ac:dyDescent="0.25">
      <c r="B114" s="102"/>
      <c r="C114" s="103"/>
      <c r="D114" s="103"/>
      <c r="E114" s="103"/>
      <c r="F114" s="103"/>
      <c r="G114" s="103"/>
      <c r="H114" s="103"/>
      <c r="I114" s="103"/>
      <c r="J114" s="103"/>
      <c r="K114" s="103"/>
      <c r="L114" s="103"/>
      <c r="M114" s="103"/>
      <c r="N114" s="103"/>
      <c r="O114" s="103"/>
      <c r="P114" s="103"/>
      <c r="Q114" s="103"/>
      <c r="R114" s="103"/>
      <c r="S114" s="103"/>
      <c r="T114" s="103"/>
      <c r="U114" s="103"/>
      <c r="V114" s="103"/>
      <c r="W114" s="103"/>
      <c r="X114" s="103"/>
      <c r="Y114" s="103"/>
      <c r="Z114" s="103"/>
      <c r="AA114" s="104"/>
    </row>
    <row r="115" spans="2:27" s="1" customFormat="1" ht="15" customHeight="1" x14ac:dyDescent="0.25">
      <c r="B115" s="102"/>
      <c r="C115" s="103"/>
      <c r="D115" s="103"/>
      <c r="E115" s="103"/>
      <c r="F115" s="103"/>
      <c r="G115" s="103"/>
      <c r="H115" s="103"/>
      <c r="I115" s="103"/>
      <c r="J115" s="103"/>
      <c r="K115" s="103"/>
      <c r="L115" s="103"/>
      <c r="M115" s="103"/>
      <c r="N115" s="103"/>
      <c r="O115" s="103"/>
      <c r="P115" s="103"/>
      <c r="Q115" s="103"/>
      <c r="R115" s="103"/>
      <c r="S115" s="103"/>
      <c r="T115" s="103"/>
      <c r="U115" s="103"/>
      <c r="V115" s="103"/>
      <c r="W115" s="103"/>
      <c r="X115" s="103"/>
      <c r="Y115" s="103"/>
      <c r="Z115" s="103"/>
      <c r="AA115" s="104"/>
    </row>
    <row r="116" spans="2:27" s="1" customFormat="1" ht="15" customHeight="1" x14ac:dyDescent="0.25">
      <c r="B116" s="102"/>
      <c r="C116" s="103"/>
      <c r="D116" s="103"/>
      <c r="E116" s="103"/>
      <c r="F116" s="103"/>
      <c r="G116" s="103"/>
      <c r="H116" s="103"/>
      <c r="I116" s="103"/>
      <c r="J116" s="103"/>
      <c r="K116" s="103"/>
      <c r="L116" s="103"/>
      <c r="M116" s="103"/>
      <c r="N116" s="103"/>
      <c r="O116" s="103"/>
      <c r="P116" s="103"/>
      <c r="Q116" s="103"/>
      <c r="R116" s="103"/>
      <c r="S116" s="103"/>
      <c r="T116" s="103"/>
      <c r="U116" s="103"/>
      <c r="V116" s="103"/>
      <c r="W116" s="103"/>
      <c r="X116" s="103"/>
      <c r="Y116" s="103"/>
      <c r="Z116" s="103"/>
      <c r="AA116" s="104"/>
    </row>
    <row r="117" spans="2:27" s="1" customFormat="1" ht="15" customHeight="1" x14ac:dyDescent="0.25">
      <c r="B117" s="102"/>
      <c r="C117" s="103"/>
      <c r="D117" s="103"/>
      <c r="E117" s="103"/>
      <c r="F117" s="103"/>
      <c r="G117" s="103"/>
      <c r="H117" s="103"/>
      <c r="I117" s="103"/>
      <c r="J117" s="103"/>
      <c r="K117" s="103"/>
      <c r="L117" s="103"/>
      <c r="M117" s="103"/>
      <c r="N117" s="103"/>
      <c r="O117" s="103"/>
      <c r="P117" s="103"/>
      <c r="Q117" s="103"/>
      <c r="R117" s="103"/>
      <c r="S117" s="103"/>
      <c r="T117" s="103"/>
      <c r="U117" s="103"/>
      <c r="V117" s="103"/>
      <c r="W117" s="103"/>
      <c r="X117" s="103"/>
      <c r="Y117" s="103"/>
      <c r="Z117" s="103"/>
      <c r="AA117" s="104"/>
    </row>
    <row r="118" spans="2:27" s="1" customFormat="1" ht="15" customHeight="1" x14ac:dyDescent="0.25">
      <c r="B118" s="102"/>
      <c r="C118" s="103"/>
      <c r="D118" s="103"/>
      <c r="E118" s="103"/>
      <c r="F118" s="103"/>
      <c r="G118" s="103"/>
      <c r="H118" s="103"/>
      <c r="I118" s="103"/>
      <c r="J118" s="103"/>
      <c r="K118" s="103"/>
      <c r="L118" s="103"/>
      <c r="M118" s="103"/>
      <c r="N118" s="103"/>
      <c r="O118" s="103"/>
      <c r="P118" s="103"/>
      <c r="Q118" s="103"/>
      <c r="R118" s="103"/>
      <c r="S118" s="103"/>
      <c r="T118" s="103"/>
      <c r="U118" s="103"/>
      <c r="V118" s="103"/>
      <c r="W118" s="103"/>
      <c r="X118" s="103"/>
      <c r="Y118" s="103"/>
      <c r="Z118" s="103"/>
      <c r="AA118" s="104"/>
    </row>
    <row r="119" spans="2:27" s="1" customFormat="1" ht="15" customHeight="1" x14ac:dyDescent="0.25">
      <c r="B119" s="102"/>
      <c r="C119" s="103"/>
      <c r="D119" s="103"/>
      <c r="E119" s="103"/>
      <c r="F119" s="103"/>
      <c r="G119" s="103"/>
      <c r="H119" s="103"/>
      <c r="I119" s="103"/>
      <c r="J119" s="103"/>
      <c r="K119" s="103"/>
      <c r="L119" s="103"/>
      <c r="M119" s="103"/>
      <c r="N119" s="103"/>
      <c r="O119" s="103"/>
      <c r="P119" s="103"/>
      <c r="Q119" s="103"/>
      <c r="R119" s="103"/>
      <c r="S119" s="103"/>
      <c r="T119" s="103"/>
      <c r="U119" s="103"/>
      <c r="V119" s="103"/>
      <c r="W119" s="103"/>
      <c r="X119" s="103"/>
      <c r="Y119" s="103"/>
      <c r="Z119" s="103"/>
      <c r="AA119" s="104"/>
    </row>
    <row r="120" spans="2:27" s="1" customFormat="1" ht="15" customHeight="1" x14ac:dyDescent="0.25">
      <c r="B120" s="102"/>
      <c r="C120" s="103"/>
      <c r="D120" s="103"/>
      <c r="E120" s="103"/>
      <c r="F120" s="103"/>
      <c r="G120" s="103"/>
      <c r="H120" s="103"/>
      <c r="I120" s="103"/>
      <c r="J120" s="103"/>
      <c r="K120" s="103"/>
      <c r="L120" s="103"/>
      <c r="M120" s="103"/>
      <c r="N120" s="103"/>
      <c r="O120" s="103"/>
      <c r="P120" s="103"/>
      <c r="Q120" s="103"/>
      <c r="R120" s="103"/>
      <c r="S120" s="103"/>
      <c r="T120" s="103"/>
      <c r="U120" s="103"/>
      <c r="V120" s="103"/>
      <c r="W120" s="103"/>
      <c r="X120" s="103"/>
      <c r="Y120" s="103"/>
      <c r="Z120" s="103"/>
      <c r="AA120" s="104"/>
    </row>
    <row r="121" spans="2:27" s="1" customFormat="1" ht="15" customHeight="1" x14ac:dyDescent="0.25">
      <c r="B121" s="102"/>
      <c r="C121" s="103"/>
      <c r="D121" s="103"/>
      <c r="E121" s="103"/>
      <c r="F121" s="103"/>
      <c r="G121" s="103"/>
      <c r="H121" s="103"/>
      <c r="I121" s="103"/>
      <c r="J121" s="103"/>
      <c r="K121" s="103"/>
      <c r="L121" s="103"/>
      <c r="M121" s="103"/>
      <c r="N121" s="103"/>
      <c r="O121" s="103"/>
      <c r="P121" s="103"/>
      <c r="Q121" s="103"/>
      <c r="R121" s="103"/>
      <c r="S121" s="103"/>
      <c r="T121" s="103"/>
      <c r="U121" s="103"/>
      <c r="V121" s="103"/>
      <c r="W121" s="103"/>
      <c r="X121" s="103"/>
      <c r="Y121" s="103"/>
      <c r="Z121" s="103"/>
      <c r="AA121" s="104"/>
    </row>
    <row r="122" spans="2:27" s="1" customFormat="1" ht="15" customHeight="1" x14ac:dyDescent="0.25">
      <c r="B122" s="102"/>
      <c r="C122" s="103"/>
      <c r="D122" s="103"/>
      <c r="E122" s="103"/>
      <c r="F122" s="103"/>
      <c r="G122" s="103"/>
      <c r="H122" s="103"/>
      <c r="I122" s="103"/>
      <c r="J122" s="103"/>
      <c r="K122" s="103"/>
      <c r="L122" s="103"/>
      <c r="M122" s="103"/>
      <c r="N122" s="103"/>
      <c r="O122" s="103"/>
      <c r="P122" s="103"/>
      <c r="Q122" s="103"/>
      <c r="R122" s="103"/>
      <c r="S122" s="103"/>
      <c r="T122" s="103"/>
      <c r="U122" s="103"/>
      <c r="V122" s="103"/>
      <c r="W122" s="103"/>
      <c r="X122" s="103"/>
      <c r="Y122" s="103"/>
      <c r="Z122" s="103"/>
      <c r="AA122" s="104"/>
    </row>
    <row r="123" spans="2:27" s="1" customFormat="1" ht="15" customHeight="1" x14ac:dyDescent="0.25">
      <c r="B123" s="102"/>
      <c r="C123" s="103"/>
      <c r="D123" s="103"/>
      <c r="E123" s="103"/>
      <c r="F123" s="103"/>
      <c r="G123" s="103"/>
      <c r="H123" s="103"/>
      <c r="I123" s="103"/>
      <c r="J123" s="103"/>
      <c r="K123" s="103"/>
      <c r="L123" s="103"/>
      <c r="M123" s="103"/>
      <c r="N123" s="103"/>
      <c r="O123" s="103"/>
      <c r="P123" s="103"/>
      <c r="Q123" s="103"/>
      <c r="R123" s="103"/>
      <c r="S123" s="103"/>
      <c r="T123" s="103"/>
      <c r="U123" s="103"/>
      <c r="V123" s="103"/>
      <c r="W123" s="103"/>
      <c r="X123" s="103"/>
      <c r="Y123" s="103"/>
      <c r="Z123" s="103"/>
      <c r="AA123" s="104"/>
    </row>
    <row r="124" spans="2:27" s="1" customFormat="1" ht="15" customHeight="1" x14ac:dyDescent="0.25">
      <c r="B124" s="102"/>
      <c r="C124" s="103"/>
      <c r="D124" s="103"/>
      <c r="E124" s="103"/>
      <c r="F124" s="103"/>
      <c r="G124" s="103"/>
      <c r="H124" s="103"/>
      <c r="I124" s="103"/>
      <c r="J124" s="103"/>
      <c r="K124" s="103"/>
      <c r="L124" s="103"/>
      <c r="M124" s="103"/>
      <c r="N124" s="103"/>
      <c r="O124" s="103"/>
      <c r="P124" s="103"/>
      <c r="Q124" s="103"/>
      <c r="R124" s="103"/>
      <c r="S124" s="103"/>
      <c r="T124" s="103"/>
      <c r="U124" s="103"/>
      <c r="V124" s="103"/>
      <c r="W124" s="103"/>
      <c r="X124" s="103"/>
      <c r="Y124" s="103"/>
      <c r="Z124" s="103"/>
      <c r="AA124" s="104"/>
    </row>
    <row r="125" spans="2:27" s="1" customFormat="1" ht="15" customHeight="1" x14ac:dyDescent="0.25">
      <c r="B125" s="102"/>
      <c r="C125" s="103"/>
      <c r="D125" s="103"/>
      <c r="E125" s="103"/>
      <c r="F125" s="103"/>
      <c r="G125" s="103"/>
      <c r="H125" s="103"/>
      <c r="I125" s="103"/>
      <c r="J125" s="103"/>
      <c r="K125" s="103"/>
      <c r="L125" s="103"/>
      <c r="M125" s="103"/>
      <c r="N125" s="103"/>
      <c r="O125" s="103"/>
      <c r="P125" s="103"/>
      <c r="Q125" s="103"/>
      <c r="R125" s="103"/>
      <c r="S125" s="103"/>
      <c r="T125" s="103"/>
      <c r="U125" s="103"/>
      <c r="V125" s="103"/>
      <c r="W125" s="103"/>
      <c r="X125" s="103"/>
      <c r="Y125" s="103"/>
      <c r="Z125" s="103"/>
      <c r="AA125" s="104"/>
    </row>
    <row r="126" spans="2:27" s="1" customFormat="1" ht="15" customHeight="1" x14ac:dyDescent="0.25">
      <c r="B126" s="102"/>
      <c r="C126" s="103"/>
      <c r="D126" s="103"/>
      <c r="E126" s="103"/>
      <c r="F126" s="103"/>
      <c r="G126" s="103"/>
      <c r="H126" s="103"/>
      <c r="I126" s="103"/>
      <c r="J126" s="103"/>
      <c r="K126" s="103"/>
      <c r="L126" s="103"/>
      <c r="M126" s="103"/>
      <c r="N126" s="103"/>
      <c r="O126" s="103"/>
      <c r="P126" s="103"/>
      <c r="Q126" s="103"/>
      <c r="R126" s="103"/>
      <c r="S126" s="103"/>
      <c r="T126" s="103"/>
      <c r="U126" s="103"/>
      <c r="V126" s="103"/>
      <c r="W126" s="103"/>
      <c r="X126" s="103"/>
      <c r="Y126" s="103"/>
      <c r="Z126" s="103"/>
      <c r="AA126" s="104"/>
    </row>
    <row r="127" spans="2:27" s="1" customFormat="1" ht="15" customHeight="1" x14ac:dyDescent="0.25">
      <c r="B127" s="102"/>
      <c r="C127" s="103"/>
      <c r="D127" s="103"/>
      <c r="E127" s="103"/>
      <c r="F127" s="103"/>
      <c r="G127" s="103"/>
      <c r="H127" s="103"/>
      <c r="I127" s="103"/>
      <c r="J127" s="103"/>
      <c r="K127" s="103"/>
      <c r="L127" s="103"/>
      <c r="M127" s="103"/>
      <c r="N127" s="103"/>
      <c r="O127" s="103"/>
      <c r="P127" s="103"/>
      <c r="Q127" s="103"/>
      <c r="R127" s="103"/>
      <c r="S127" s="103"/>
      <c r="T127" s="103"/>
      <c r="U127" s="103"/>
      <c r="V127" s="103"/>
      <c r="W127" s="103"/>
      <c r="X127" s="103"/>
      <c r="Y127" s="103"/>
      <c r="Z127" s="103"/>
      <c r="AA127" s="104"/>
    </row>
    <row r="128" spans="2:27" s="1" customFormat="1" ht="15" customHeight="1" x14ac:dyDescent="0.25">
      <c r="B128" s="102"/>
      <c r="C128" s="103"/>
      <c r="D128" s="103"/>
      <c r="E128" s="103"/>
      <c r="F128" s="103"/>
      <c r="G128" s="103"/>
      <c r="H128" s="103"/>
      <c r="I128" s="103"/>
      <c r="J128" s="103"/>
      <c r="K128" s="103"/>
      <c r="L128" s="103"/>
      <c r="M128" s="103"/>
      <c r="N128" s="103"/>
      <c r="O128" s="103"/>
      <c r="P128" s="103"/>
      <c r="Q128" s="103"/>
      <c r="R128" s="103"/>
      <c r="S128" s="103"/>
      <c r="T128" s="103"/>
      <c r="U128" s="103"/>
      <c r="V128" s="103"/>
      <c r="W128" s="103"/>
      <c r="X128" s="103"/>
      <c r="Y128" s="103"/>
      <c r="Z128" s="103"/>
      <c r="AA128" s="104"/>
    </row>
    <row r="129" spans="2:27" s="1" customFormat="1" ht="15" customHeight="1" x14ac:dyDescent="0.25">
      <c r="B129" s="102"/>
      <c r="C129" s="103"/>
      <c r="D129" s="103"/>
      <c r="E129" s="103"/>
      <c r="F129" s="103"/>
      <c r="G129" s="103"/>
      <c r="H129" s="103"/>
      <c r="I129" s="103"/>
      <c r="J129" s="103"/>
      <c r="K129" s="103"/>
      <c r="L129" s="103"/>
      <c r="M129" s="103"/>
      <c r="N129" s="103"/>
      <c r="O129" s="103"/>
      <c r="P129" s="103"/>
      <c r="Q129" s="103"/>
      <c r="R129" s="103"/>
      <c r="S129" s="103"/>
      <c r="T129" s="103"/>
      <c r="U129" s="103"/>
      <c r="V129" s="103"/>
      <c r="W129" s="103"/>
      <c r="X129" s="103"/>
      <c r="Y129" s="103"/>
      <c r="Z129" s="103"/>
      <c r="AA129" s="104"/>
    </row>
    <row r="130" spans="2:27" s="1" customFormat="1" ht="15" customHeight="1" x14ac:dyDescent="0.25">
      <c r="B130" s="102"/>
      <c r="C130" s="103"/>
      <c r="D130" s="103"/>
      <c r="E130" s="103"/>
      <c r="F130" s="103"/>
      <c r="G130" s="103"/>
      <c r="H130" s="103"/>
      <c r="I130" s="103"/>
      <c r="J130" s="103"/>
      <c r="K130" s="103"/>
      <c r="L130" s="103"/>
      <c r="M130" s="103"/>
      <c r="N130" s="103"/>
      <c r="O130" s="103"/>
      <c r="P130" s="103"/>
      <c r="Q130" s="103"/>
      <c r="R130" s="103"/>
      <c r="S130" s="103"/>
      <c r="T130" s="103"/>
      <c r="U130" s="103"/>
      <c r="V130" s="103"/>
      <c r="W130" s="103"/>
      <c r="X130" s="103"/>
      <c r="Y130" s="103"/>
      <c r="Z130" s="103"/>
      <c r="AA130" s="104"/>
    </row>
    <row r="131" spans="2:27" s="1" customFormat="1" ht="15" customHeight="1" x14ac:dyDescent="0.25">
      <c r="B131" s="102"/>
      <c r="C131" s="103"/>
      <c r="D131" s="103"/>
      <c r="E131" s="103"/>
      <c r="F131" s="103"/>
      <c r="G131" s="103"/>
      <c r="H131" s="103"/>
      <c r="I131" s="103"/>
      <c r="J131" s="103"/>
      <c r="K131" s="103"/>
      <c r="L131" s="103"/>
      <c r="M131" s="103"/>
      <c r="N131" s="103"/>
      <c r="O131" s="103"/>
      <c r="P131" s="103"/>
      <c r="Q131" s="103"/>
      <c r="R131" s="103"/>
      <c r="S131" s="103"/>
      <c r="T131" s="103"/>
      <c r="U131" s="103"/>
      <c r="V131" s="103"/>
      <c r="W131" s="103"/>
      <c r="X131" s="103"/>
      <c r="Y131" s="103"/>
      <c r="Z131" s="103"/>
      <c r="AA131" s="104"/>
    </row>
    <row r="132" spans="2:27" s="1" customFormat="1" ht="15" customHeight="1" x14ac:dyDescent="0.25">
      <c r="B132" s="102"/>
      <c r="C132" s="103"/>
      <c r="D132" s="103"/>
      <c r="E132" s="103"/>
      <c r="F132" s="103"/>
      <c r="G132" s="103"/>
      <c r="H132" s="103"/>
      <c r="I132" s="103"/>
      <c r="J132" s="103"/>
      <c r="K132" s="103"/>
      <c r="L132" s="103"/>
      <c r="M132" s="103"/>
      <c r="N132" s="103"/>
      <c r="O132" s="103"/>
      <c r="P132" s="103"/>
      <c r="Q132" s="103"/>
      <c r="R132" s="103"/>
      <c r="S132" s="103"/>
      <c r="T132" s="103"/>
      <c r="U132" s="103"/>
      <c r="V132" s="103"/>
      <c r="W132" s="103"/>
      <c r="X132" s="103"/>
      <c r="Y132" s="103"/>
      <c r="Z132" s="103"/>
      <c r="AA132" s="104"/>
    </row>
    <row r="133" spans="2:27" s="1" customFormat="1" ht="15" customHeight="1" x14ac:dyDescent="0.25">
      <c r="B133" s="102"/>
      <c r="C133" s="103"/>
      <c r="D133" s="103"/>
      <c r="E133" s="103"/>
      <c r="F133" s="103"/>
      <c r="G133" s="103"/>
      <c r="H133" s="103"/>
      <c r="I133" s="103"/>
      <c r="J133" s="103"/>
      <c r="K133" s="103"/>
      <c r="L133" s="103"/>
      <c r="M133" s="103"/>
      <c r="N133" s="103"/>
      <c r="O133" s="103"/>
      <c r="P133" s="103"/>
      <c r="Q133" s="103"/>
      <c r="R133" s="103"/>
      <c r="S133" s="103"/>
      <c r="T133" s="103"/>
      <c r="U133" s="103"/>
      <c r="V133" s="103"/>
      <c r="W133" s="103"/>
      <c r="X133" s="103"/>
      <c r="Y133" s="103"/>
      <c r="Z133" s="103"/>
      <c r="AA133" s="104"/>
    </row>
    <row r="134" spans="2:27" s="1" customFormat="1" ht="15" customHeight="1" x14ac:dyDescent="0.25">
      <c r="B134" s="102"/>
      <c r="C134" s="103"/>
      <c r="D134" s="103"/>
      <c r="E134" s="103"/>
      <c r="F134" s="103"/>
      <c r="G134" s="103"/>
      <c r="H134" s="103"/>
      <c r="I134" s="103"/>
      <c r="J134" s="103"/>
      <c r="K134" s="103"/>
      <c r="L134" s="103"/>
      <c r="M134" s="103"/>
      <c r="N134" s="103"/>
      <c r="O134" s="103"/>
      <c r="P134" s="103"/>
      <c r="Q134" s="103"/>
      <c r="R134" s="103"/>
      <c r="S134" s="103"/>
      <c r="T134" s="103"/>
      <c r="U134" s="103"/>
      <c r="V134" s="103"/>
      <c r="W134" s="103"/>
      <c r="X134" s="103"/>
      <c r="Y134" s="103"/>
      <c r="Z134" s="103"/>
      <c r="AA134" s="104"/>
    </row>
    <row r="135" spans="2:27" ht="15" customHeight="1" x14ac:dyDescent="0.25">
      <c r="B135" s="102"/>
      <c r="C135" s="103"/>
      <c r="D135" s="103"/>
      <c r="E135" s="103"/>
      <c r="F135" s="103"/>
      <c r="G135" s="103"/>
      <c r="H135" s="103"/>
      <c r="I135" s="103"/>
      <c r="J135" s="103"/>
      <c r="K135" s="103"/>
      <c r="L135" s="103"/>
      <c r="M135" s="103"/>
      <c r="N135" s="103"/>
      <c r="O135" s="103"/>
      <c r="P135" s="103"/>
      <c r="Q135" s="103"/>
      <c r="R135" s="103"/>
      <c r="S135" s="103"/>
      <c r="T135" s="103"/>
      <c r="U135" s="103"/>
      <c r="V135" s="103"/>
      <c r="W135" s="103"/>
      <c r="X135" s="103"/>
      <c r="Y135" s="103"/>
      <c r="Z135" s="103"/>
      <c r="AA135" s="104"/>
    </row>
    <row r="136" spans="2:27" ht="15" customHeight="1" x14ac:dyDescent="0.25">
      <c r="B136" s="102"/>
      <c r="C136" s="103"/>
      <c r="D136" s="103"/>
      <c r="E136" s="103"/>
      <c r="F136" s="103"/>
      <c r="G136" s="103"/>
      <c r="H136" s="103"/>
      <c r="I136" s="103"/>
      <c r="J136" s="103"/>
      <c r="K136" s="103"/>
      <c r="L136" s="103"/>
      <c r="M136" s="103"/>
      <c r="N136" s="103"/>
      <c r="O136" s="103"/>
      <c r="P136" s="103"/>
      <c r="Q136" s="103"/>
      <c r="R136" s="103"/>
      <c r="S136" s="103"/>
      <c r="T136" s="103"/>
      <c r="U136" s="103"/>
      <c r="V136" s="103"/>
      <c r="W136" s="103"/>
      <c r="X136" s="103"/>
      <c r="Y136" s="103"/>
      <c r="Z136" s="103"/>
      <c r="AA136" s="104"/>
    </row>
    <row r="137" spans="2:27" ht="15" customHeight="1" x14ac:dyDescent="0.25">
      <c r="B137" s="102"/>
      <c r="C137" s="103"/>
      <c r="D137" s="103"/>
      <c r="E137" s="103"/>
      <c r="F137" s="103"/>
      <c r="G137" s="103"/>
      <c r="H137" s="103"/>
      <c r="I137" s="103"/>
      <c r="J137" s="103"/>
      <c r="K137" s="103"/>
      <c r="L137" s="103"/>
      <c r="M137" s="103"/>
      <c r="N137" s="103"/>
      <c r="O137" s="103"/>
      <c r="P137" s="103"/>
      <c r="Q137" s="103"/>
      <c r="R137" s="103"/>
      <c r="S137" s="103"/>
      <c r="T137" s="103"/>
      <c r="U137" s="103"/>
      <c r="V137" s="103"/>
      <c r="W137" s="103"/>
      <c r="X137" s="103"/>
      <c r="Y137" s="103"/>
      <c r="Z137" s="103"/>
      <c r="AA137" s="104"/>
    </row>
    <row r="138" spans="2:27" ht="15" customHeight="1" x14ac:dyDescent="0.25">
      <c r="B138" s="102"/>
      <c r="C138" s="103"/>
      <c r="D138" s="103"/>
      <c r="E138" s="103"/>
      <c r="F138" s="103"/>
      <c r="G138" s="103"/>
      <c r="H138" s="103"/>
      <c r="I138" s="103"/>
      <c r="J138" s="103"/>
      <c r="K138" s="103"/>
      <c r="L138" s="103"/>
      <c r="M138" s="103"/>
      <c r="N138" s="103"/>
      <c r="O138" s="103"/>
      <c r="P138" s="103"/>
      <c r="Q138" s="103"/>
      <c r="R138" s="103"/>
      <c r="S138" s="103"/>
      <c r="T138" s="103"/>
      <c r="U138" s="103"/>
      <c r="V138" s="103"/>
      <c r="W138" s="103"/>
      <c r="X138" s="103"/>
      <c r="Y138" s="103"/>
      <c r="Z138" s="103"/>
      <c r="AA138" s="104"/>
    </row>
    <row r="139" spans="2:27" ht="15" customHeight="1" x14ac:dyDescent="0.25">
      <c r="B139" s="102"/>
      <c r="C139" s="103"/>
      <c r="D139" s="103"/>
      <c r="E139" s="103"/>
      <c r="F139" s="103"/>
      <c r="G139" s="103"/>
      <c r="H139" s="103"/>
      <c r="I139" s="103"/>
      <c r="J139" s="103"/>
      <c r="K139" s="103"/>
      <c r="L139" s="103"/>
      <c r="M139" s="103"/>
      <c r="N139" s="103"/>
      <c r="O139" s="103"/>
      <c r="P139" s="103"/>
      <c r="Q139" s="103"/>
      <c r="R139" s="103"/>
      <c r="S139" s="103"/>
      <c r="T139" s="103"/>
      <c r="U139" s="103"/>
      <c r="V139" s="103"/>
      <c r="W139" s="103"/>
      <c r="X139" s="103"/>
      <c r="Y139" s="103"/>
      <c r="Z139" s="103"/>
      <c r="AA139" s="104"/>
    </row>
    <row r="140" spans="2:27" ht="15" customHeight="1" x14ac:dyDescent="0.25">
      <c r="B140" s="102"/>
      <c r="C140" s="103"/>
      <c r="D140" s="103"/>
      <c r="E140" s="103"/>
      <c r="F140" s="103"/>
      <c r="G140" s="103"/>
      <c r="H140" s="103"/>
      <c r="I140" s="103"/>
      <c r="J140" s="103"/>
      <c r="K140" s="103"/>
      <c r="L140" s="103"/>
      <c r="M140" s="103"/>
      <c r="N140" s="103"/>
      <c r="O140" s="103"/>
      <c r="P140" s="103"/>
      <c r="Q140" s="103"/>
      <c r="R140" s="103"/>
      <c r="S140" s="103"/>
      <c r="T140" s="103"/>
      <c r="U140" s="103"/>
      <c r="V140" s="103"/>
      <c r="W140" s="103"/>
      <c r="X140" s="103"/>
      <c r="Y140" s="103"/>
      <c r="Z140" s="103"/>
      <c r="AA140" s="104"/>
    </row>
    <row r="141" spans="2:27" ht="15" customHeight="1" x14ac:dyDescent="0.25">
      <c r="B141" s="102"/>
      <c r="C141" s="103"/>
      <c r="D141" s="103"/>
      <c r="E141" s="103"/>
      <c r="F141" s="103"/>
      <c r="G141" s="103"/>
      <c r="H141" s="103"/>
      <c r="I141" s="103"/>
      <c r="J141" s="103"/>
      <c r="K141" s="103"/>
      <c r="L141" s="103"/>
      <c r="M141" s="103"/>
      <c r="N141" s="103"/>
      <c r="O141" s="103"/>
      <c r="P141" s="103"/>
      <c r="Q141" s="103"/>
      <c r="R141" s="103"/>
      <c r="S141" s="103"/>
      <c r="T141" s="103"/>
      <c r="U141" s="103"/>
      <c r="V141" s="103"/>
      <c r="W141" s="103"/>
      <c r="X141" s="103"/>
      <c r="Y141" s="103"/>
      <c r="Z141" s="103"/>
      <c r="AA141" s="104"/>
    </row>
    <row r="142" spans="2:27" ht="15" customHeight="1" x14ac:dyDescent="0.25">
      <c r="B142" s="102"/>
      <c r="C142" s="103"/>
      <c r="D142" s="103"/>
      <c r="E142" s="103"/>
      <c r="F142" s="103"/>
      <c r="G142" s="103"/>
      <c r="H142" s="103"/>
      <c r="I142" s="103"/>
      <c r="J142" s="103"/>
      <c r="K142" s="103"/>
      <c r="L142" s="103"/>
      <c r="M142" s="103"/>
      <c r="N142" s="103"/>
      <c r="O142" s="103"/>
      <c r="P142" s="103"/>
      <c r="Q142" s="103"/>
      <c r="R142" s="103"/>
      <c r="S142" s="103"/>
      <c r="T142" s="103"/>
      <c r="U142" s="103"/>
      <c r="V142" s="103"/>
      <c r="W142" s="103"/>
      <c r="X142" s="103"/>
      <c r="Y142" s="103"/>
      <c r="Z142" s="103"/>
      <c r="AA142" s="104"/>
    </row>
    <row r="143" spans="2:27" ht="15" customHeight="1" x14ac:dyDescent="0.25">
      <c r="B143" s="102"/>
      <c r="C143" s="103"/>
      <c r="D143" s="103"/>
      <c r="E143" s="103"/>
      <c r="F143" s="103"/>
      <c r="G143" s="103"/>
      <c r="H143" s="103"/>
      <c r="I143" s="103"/>
      <c r="J143" s="103"/>
      <c r="K143" s="103"/>
      <c r="L143" s="103"/>
      <c r="M143" s="103"/>
      <c r="N143" s="103"/>
      <c r="O143" s="103"/>
      <c r="P143" s="103"/>
      <c r="Q143" s="103"/>
      <c r="R143" s="103"/>
      <c r="S143" s="103"/>
      <c r="T143" s="103"/>
      <c r="U143" s="103"/>
      <c r="V143" s="103"/>
      <c r="W143" s="103"/>
      <c r="X143" s="103"/>
      <c r="Y143" s="103"/>
      <c r="Z143" s="103"/>
      <c r="AA143" s="104"/>
    </row>
    <row r="144" spans="2:27" ht="15" customHeight="1" x14ac:dyDescent="0.25">
      <c r="B144" s="102"/>
      <c r="C144" s="103"/>
      <c r="D144" s="103"/>
      <c r="E144" s="103"/>
      <c r="F144" s="103"/>
      <c r="G144" s="103"/>
      <c r="H144" s="103"/>
      <c r="I144" s="103"/>
      <c r="J144" s="103"/>
      <c r="K144" s="103"/>
      <c r="L144" s="103"/>
      <c r="M144" s="103"/>
      <c r="N144" s="103"/>
      <c r="O144" s="103"/>
      <c r="P144" s="103"/>
      <c r="Q144" s="103"/>
      <c r="R144" s="103"/>
      <c r="S144" s="103"/>
      <c r="T144" s="103"/>
      <c r="U144" s="103"/>
      <c r="V144" s="103"/>
      <c r="W144" s="103"/>
      <c r="X144" s="103"/>
      <c r="Y144" s="103"/>
      <c r="Z144" s="103"/>
      <c r="AA144" s="104"/>
    </row>
    <row r="145" spans="2:27" ht="15" customHeight="1" x14ac:dyDescent="0.25">
      <c r="B145" s="102"/>
      <c r="C145" s="103"/>
      <c r="D145" s="103"/>
      <c r="E145" s="103"/>
      <c r="F145" s="103"/>
      <c r="G145" s="103"/>
      <c r="H145" s="103"/>
      <c r="I145" s="103"/>
      <c r="J145" s="103"/>
      <c r="K145" s="103"/>
      <c r="L145" s="103"/>
      <c r="M145" s="103"/>
      <c r="N145" s="103"/>
      <c r="O145" s="103"/>
      <c r="P145" s="103"/>
      <c r="Q145" s="103"/>
      <c r="R145" s="103"/>
      <c r="S145" s="103"/>
      <c r="T145" s="103"/>
      <c r="U145" s="103"/>
      <c r="V145" s="103"/>
      <c r="W145" s="103"/>
      <c r="X145" s="103"/>
      <c r="Y145" s="103"/>
      <c r="Z145" s="103"/>
      <c r="AA145" s="104"/>
    </row>
    <row r="146" spans="2:27" ht="15" customHeight="1" x14ac:dyDescent="0.25">
      <c r="B146" s="102"/>
      <c r="C146" s="103"/>
      <c r="D146" s="103"/>
      <c r="E146" s="103"/>
      <c r="F146" s="103"/>
      <c r="G146" s="103"/>
      <c r="H146" s="103"/>
      <c r="I146" s="103"/>
      <c r="J146" s="103"/>
      <c r="K146" s="103"/>
      <c r="L146" s="103"/>
      <c r="M146" s="103"/>
      <c r="N146" s="103"/>
      <c r="O146" s="103"/>
      <c r="P146" s="103"/>
      <c r="Q146" s="103"/>
      <c r="R146" s="103"/>
      <c r="S146" s="103"/>
      <c r="T146" s="103"/>
      <c r="U146" s="103"/>
      <c r="V146" s="103"/>
      <c r="W146" s="103"/>
      <c r="X146" s="103"/>
      <c r="Y146" s="103"/>
      <c r="Z146" s="103"/>
      <c r="AA146" s="104"/>
    </row>
    <row r="147" spans="2:27" ht="15" customHeight="1" x14ac:dyDescent="0.25">
      <c r="B147" s="102"/>
      <c r="C147" s="103"/>
      <c r="D147" s="103"/>
      <c r="E147" s="103"/>
      <c r="F147" s="103"/>
      <c r="G147" s="103"/>
      <c r="H147" s="103"/>
      <c r="I147" s="103"/>
      <c r="J147" s="103"/>
      <c r="K147" s="103"/>
      <c r="L147" s="103"/>
      <c r="M147" s="103"/>
      <c r="N147" s="103"/>
      <c r="O147" s="103"/>
      <c r="P147" s="103"/>
      <c r="Q147" s="103"/>
      <c r="R147" s="103"/>
      <c r="S147" s="103"/>
      <c r="T147" s="103"/>
      <c r="U147" s="103"/>
      <c r="V147" s="103"/>
      <c r="W147" s="103"/>
      <c r="X147" s="103"/>
      <c r="Y147" s="103"/>
      <c r="Z147" s="103"/>
      <c r="AA147" s="104"/>
    </row>
    <row r="148" spans="2:27" ht="15" customHeight="1" x14ac:dyDescent="0.25">
      <c r="B148" s="102"/>
      <c r="C148" s="103"/>
      <c r="D148" s="103"/>
      <c r="E148" s="103"/>
      <c r="F148" s="103"/>
      <c r="G148" s="103"/>
      <c r="H148" s="103"/>
      <c r="I148" s="103"/>
      <c r="J148" s="103"/>
      <c r="K148" s="103"/>
      <c r="L148" s="103"/>
      <c r="M148" s="103"/>
      <c r="N148" s="103"/>
      <c r="O148" s="103"/>
      <c r="P148" s="103"/>
      <c r="Q148" s="103"/>
      <c r="R148" s="103"/>
      <c r="S148" s="103"/>
      <c r="T148" s="103"/>
      <c r="U148" s="103"/>
      <c r="V148" s="103"/>
      <c r="W148" s="103"/>
      <c r="X148" s="103"/>
      <c r="Y148" s="103"/>
      <c r="Z148" s="103"/>
      <c r="AA148" s="104"/>
    </row>
    <row r="149" spans="2:27" ht="15" customHeight="1" x14ac:dyDescent="0.25">
      <c r="B149" s="102"/>
      <c r="C149" s="103"/>
      <c r="D149" s="103"/>
      <c r="E149" s="103"/>
      <c r="F149" s="103"/>
      <c r="G149" s="103"/>
      <c r="H149" s="103"/>
      <c r="I149" s="103"/>
      <c r="J149" s="103"/>
      <c r="K149" s="103"/>
      <c r="L149" s="103"/>
      <c r="M149" s="103"/>
      <c r="N149" s="103"/>
      <c r="O149" s="103"/>
      <c r="P149" s="103"/>
      <c r="Q149" s="103"/>
      <c r="R149" s="103"/>
      <c r="S149" s="103"/>
      <c r="T149" s="103"/>
      <c r="U149" s="103"/>
      <c r="V149" s="103"/>
      <c r="W149" s="103"/>
      <c r="X149" s="103"/>
      <c r="Y149" s="103"/>
      <c r="Z149" s="103"/>
      <c r="AA149" s="104"/>
    </row>
    <row r="150" spans="2:27" ht="15" customHeight="1" x14ac:dyDescent="0.25">
      <c r="B150" s="102"/>
      <c r="C150" s="103"/>
      <c r="D150" s="103"/>
      <c r="E150" s="103"/>
      <c r="F150" s="103"/>
      <c r="G150" s="103"/>
      <c r="H150" s="103"/>
      <c r="I150" s="103"/>
      <c r="J150" s="103"/>
      <c r="K150" s="103"/>
      <c r="L150" s="103"/>
      <c r="M150" s="103"/>
      <c r="N150" s="103"/>
      <c r="O150" s="103"/>
      <c r="P150" s="103"/>
      <c r="Q150" s="103"/>
      <c r="R150" s="103"/>
      <c r="S150" s="103"/>
      <c r="T150" s="103"/>
      <c r="U150" s="103"/>
      <c r="V150" s="103"/>
      <c r="W150" s="103"/>
      <c r="X150" s="103"/>
      <c r="Y150" s="103"/>
      <c r="Z150" s="103"/>
      <c r="AA150" s="104"/>
    </row>
    <row r="151" spans="2:27" ht="15" customHeight="1" x14ac:dyDescent="0.25">
      <c r="B151" s="102"/>
      <c r="C151" s="103"/>
      <c r="D151" s="103"/>
      <c r="E151" s="103"/>
      <c r="F151" s="103"/>
      <c r="G151" s="103"/>
      <c r="H151" s="103"/>
      <c r="I151" s="103"/>
      <c r="J151" s="103"/>
      <c r="K151" s="103"/>
      <c r="L151" s="103"/>
      <c r="M151" s="103"/>
      <c r="N151" s="103"/>
      <c r="O151" s="103"/>
      <c r="P151" s="103"/>
      <c r="Q151" s="103"/>
      <c r="R151" s="103"/>
      <c r="S151" s="103"/>
      <c r="T151" s="103"/>
      <c r="U151" s="103"/>
      <c r="V151" s="103"/>
      <c r="W151" s="103"/>
      <c r="X151" s="103"/>
      <c r="Y151" s="103"/>
      <c r="Z151" s="103"/>
      <c r="AA151" s="104"/>
    </row>
    <row r="152" spans="2:27" ht="15" customHeight="1" x14ac:dyDescent="0.25">
      <c r="B152" s="102"/>
      <c r="C152" s="103"/>
      <c r="D152" s="103"/>
      <c r="E152" s="103"/>
      <c r="F152" s="103"/>
      <c r="G152" s="103"/>
      <c r="H152" s="103"/>
      <c r="I152" s="103"/>
      <c r="J152" s="103"/>
      <c r="K152" s="103"/>
      <c r="L152" s="103"/>
      <c r="M152" s="103"/>
      <c r="N152" s="103"/>
      <c r="O152" s="103"/>
      <c r="P152" s="103"/>
      <c r="Q152" s="103"/>
      <c r="R152" s="103"/>
      <c r="S152" s="103"/>
      <c r="T152" s="103"/>
      <c r="U152" s="103"/>
      <c r="V152" s="103"/>
      <c r="W152" s="103"/>
      <c r="X152" s="103"/>
      <c r="Y152" s="103"/>
      <c r="Z152" s="103"/>
      <c r="AA152" s="104"/>
    </row>
    <row r="153" spans="2:27" ht="15" customHeight="1" x14ac:dyDescent="0.25">
      <c r="B153" s="102"/>
      <c r="C153" s="103"/>
      <c r="D153" s="103"/>
      <c r="E153" s="103"/>
      <c r="F153" s="103"/>
      <c r="G153" s="103"/>
      <c r="H153" s="103"/>
      <c r="I153" s="103"/>
      <c r="J153" s="103"/>
      <c r="K153" s="103"/>
      <c r="L153" s="103"/>
      <c r="M153" s="103"/>
      <c r="N153" s="103"/>
      <c r="O153" s="103"/>
      <c r="P153" s="103"/>
      <c r="Q153" s="103"/>
      <c r="R153" s="103"/>
      <c r="S153" s="103"/>
      <c r="T153" s="103"/>
      <c r="U153" s="103"/>
      <c r="V153" s="103"/>
      <c r="W153" s="103"/>
      <c r="X153" s="103"/>
      <c r="Y153" s="103"/>
      <c r="Z153" s="103"/>
      <c r="AA153" s="104"/>
    </row>
    <row r="154" spans="2:27" ht="15" customHeight="1" x14ac:dyDescent="0.25">
      <c r="B154" s="102"/>
      <c r="C154" s="103"/>
      <c r="D154" s="103"/>
      <c r="E154" s="103"/>
      <c r="F154" s="103"/>
      <c r="G154" s="103"/>
      <c r="H154" s="103"/>
      <c r="I154" s="103"/>
      <c r="J154" s="103"/>
      <c r="K154" s="103"/>
      <c r="L154" s="103"/>
      <c r="M154" s="103"/>
      <c r="N154" s="103"/>
      <c r="O154" s="103"/>
      <c r="P154" s="103"/>
      <c r="Q154" s="103"/>
      <c r="R154" s="103"/>
      <c r="S154" s="103"/>
      <c r="T154" s="103"/>
      <c r="U154" s="103"/>
      <c r="V154" s="103"/>
      <c r="W154" s="103"/>
      <c r="X154" s="103"/>
      <c r="Y154" s="103"/>
      <c r="Z154" s="103"/>
      <c r="AA154" s="104"/>
    </row>
    <row r="155" spans="2:27" ht="15" customHeight="1" x14ac:dyDescent="0.25">
      <c r="B155" s="102"/>
      <c r="C155" s="103"/>
      <c r="D155" s="103"/>
      <c r="E155" s="103"/>
      <c r="F155" s="103"/>
      <c r="G155" s="103"/>
      <c r="H155" s="103"/>
      <c r="I155" s="103"/>
      <c r="J155" s="103"/>
      <c r="K155" s="103"/>
      <c r="L155" s="103"/>
      <c r="M155" s="103"/>
      <c r="N155" s="103"/>
      <c r="O155" s="103"/>
      <c r="P155" s="103"/>
      <c r="Q155" s="103"/>
      <c r="R155" s="103"/>
      <c r="S155" s="103"/>
      <c r="T155" s="103"/>
      <c r="U155" s="103"/>
      <c r="V155" s="103"/>
      <c r="W155" s="103"/>
      <c r="X155" s="103"/>
      <c r="Y155" s="103"/>
      <c r="Z155" s="103"/>
      <c r="AA155" s="104"/>
    </row>
    <row r="156" spans="2:27" s="1" customFormat="1" ht="15" customHeight="1" x14ac:dyDescent="0.25">
      <c r="B156" s="105"/>
      <c r="C156" s="106"/>
      <c r="D156" s="106"/>
      <c r="E156" s="106"/>
      <c r="F156" s="106"/>
      <c r="G156" s="106"/>
      <c r="H156" s="106"/>
      <c r="I156" s="106"/>
      <c r="J156" s="106"/>
      <c r="K156" s="106"/>
      <c r="L156" s="106"/>
      <c r="M156" s="106"/>
      <c r="N156" s="106"/>
      <c r="O156" s="106"/>
      <c r="P156" s="106"/>
      <c r="Q156" s="106"/>
      <c r="R156" s="106"/>
      <c r="S156" s="106"/>
      <c r="T156" s="106"/>
      <c r="U156" s="106"/>
      <c r="V156" s="106"/>
      <c r="W156" s="106"/>
      <c r="X156" s="106"/>
      <c r="Y156" s="106"/>
      <c r="Z156" s="106"/>
      <c r="AA156" s="107"/>
    </row>
  </sheetData>
  <mergeCells count="19">
    <mergeCell ref="B16:E16"/>
    <mergeCell ref="C13:E15"/>
    <mergeCell ref="B90:AA156"/>
    <mergeCell ref="B89:AA89"/>
    <mergeCell ref="B21:O40"/>
    <mergeCell ref="B20:O20"/>
    <mergeCell ref="B42:AA42"/>
    <mergeCell ref="C18:E18"/>
    <mergeCell ref="C17:E17"/>
    <mergeCell ref="B43:AA87"/>
    <mergeCell ref="L2:L3"/>
    <mergeCell ref="M2:O3"/>
    <mergeCell ref="B12:B15"/>
    <mergeCell ref="B6:E6"/>
    <mergeCell ref="C12:E12"/>
    <mergeCell ref="J2:J4"/>
    <mergeCell ref="I2:I4"/>
    <mergeCell ref="H2:H4"/>
    <mergeCell ref="G2:G3"/>
  </mergeCells>
  <conditionalFormatting sqref="D7:E11">
    <cfRule type="expression" dxfId="5" priority="10">
      <formula>AND(D7&lt;&gt;"", D7&lt;&gt;$C7)</formula>
    </cfRule>
  </conditionalFormatting>
  <conditionalFormatting sqref="M4:O15">
    <cfRule type="containsText" dxfId="4" priority="2" operator="containsText" text="CAUTION">
      <formula>NOT(ISERROR(SEARCH("CAUTION",M4)))</formula>
    </cfRule>
    <cfRule type="containsText" dxfId="3" priority="8" operator="containsText" text="NOT FOUND">
      <formula>NOT(ISERROR(SEARCH("NOT FOUND",M4)))</formula>
    </cfRule>
  </conditionalFormatting>
  <conditionalFormatting sqref="L4:L15">
    <cfRule type="expression" dxfId="2" priority="5">
      <formula>COUNTIF($M4:$O4, "=CAUTION*")&gt;0</formula>
    </cfRule>
  </conditionalFormatting>
  <conditionalFormatting sqref="H5:J18">
    <cfRule type="containsText" dxfId="1" priority="1" operator="containsText" text="N/A">
      <formula>NOT(ISERROR(SEARCH("N/A",H5)))</formula>
    </cfRule>
  </conditionalFormatting>
  <conditionalFormatting sqref="L2:O3">
    <cfRule type="expression" dxfId="0" priority="26">
      <formula>OR(COUNTIF($M$4:$O$15, "=CAUTION*"), COUNTIF($M$4:$O$15, "=NOT*"))</formula>
    </cfRule>
  </conditionalFormatting>
  <dataValidations count="1">
    <dataValidation allowBlank="1" showErrorMessage="1" errorTitle="Error" error="Please use the drop-down values to change table results." sqref="G2"/>
  </dataValidations>
  <pageMargins left="0.7" right="0.7" top="0.75" bottom="0.75" header="0.3" footer="0.3"/>
  <pageSetup orientation="portrait" horizontalDpi="4294967293"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tn_1_Load">
              <controlPr defaultSize="0" autoFill="0" autoPict="0" macro="[0]!'ImportCSVFile 1'">
                <anchor moveWithCells="1" sizeWithCells="1">
                  <from>
                    <xdr:col>2</xdr:col>
                    <xdr:colOff>9525</xdr:colOff>
                    <xdr:row>1</xdr:row>
                    <xdr:rowOff>95250</xdr:rowOff>
                  </from>
                  <to>
                    <xdr:col>3</xdr:col>
                    <xdr:colOff>0</xdr:colOff>
                    <xdr:row>4</xdr:row>
                    <xdr:rowOff>28575</xdr:rowOff>
                  </to>
                </anchor>
              </controlPr>
            </control>
          </mc:Choice>
        </mc:AlternateContent>
        <mc:AlternateContent xmlns:mc="http://schemas.openxmlformats.org/markup-compatibility/2006">
          <mc:Choice Requires="x14">
            <control shapeId="1030" r:id="rId5" name="Btn_ClearAll">
              <controlPr defaultSize="0" autoFill="0" autoPict="0" macro="[0]!ButtonClearData">
                <anchor>
                  <from>
                    <xdr:col>1</xdr:col>
                    <xdr:colOff>19050</xdr:colOff>
                    <xdr:row>1</xdr:row>
                    <xdr:rowOff>95250</xdr:rowOff>
                  </from>
                  <to>
                    <xdr:col>1</xdr:col>
                    <xdr:colOff>1323975</xdr:colOff>
                    <xdr:row>4</xdr:row>
                    <xdr:rowOff>180975</xdr:rowOff>
                  </to>
                </anchor>
              </controlPr>
            </control>
          </mc:Choice>
        </mc:AlternateContent>
        <mc:AlternateContent xmlns:mc="http://schemas.openxmlformats.org/markup-compatibility/2006">
          <mc:Choice Requires="x14">
            <control shapeId="1037" r:id="rId6" name="Radio_Power_Chip">
              <controlPr defaultSize="0" autoFill="0" autoLine="0" autoPict="0">
                <anchor moveWithCells="1">
                  <from>
                    <xdr:col>2</xdr:col>
                    <xdr:colOff>171450</xdr:colOff>
                    <xdr:row>11</xdr:row>
                    <xdr:rowOff>9525</xdr:rowOff>
                  </from>
                  <to>
                    <xdr:col>2</xdr:col>
                    <xdr:colOff>1219200</xdr:colOff>
                    <xdr:row>12</xdr:row>
                    <xdr:rowOff>0</xdr:rowOff>
                  </to>
                </anchor>
              </controlPr>
            </control>
          </mc:Choice>
        </mc:AlternateContent>
        <mc:AlternateContent xmlns:mc="http://schemas.openxmlformats.org/markup-compatibility/2006">
          <mc:Choice Requires="x14">
            <control shapeId="1038" r:id="rId7" name="Radio_Power_Total">
              <controlPr defaultSize="0" autoFill="0" autoLine="0" autoPict="0">
                <anchor moveWithCells="1">
                  <from>
                    <xdr:col>2</xdr:col>
                    <xdr:colOff>1409700</xdr:colOff>
                    <xdr:row>11</xdr:row>
                    <xdr:rowOff>9525</xdr:rowOff>
                  </from>
                  <to>
                    <xdr:col>3</xdr:col>
                    <xdr:colOff>1000125</xdr:colOff>
                    <xdr:row>12</xdr:row>
                    <xdr:rowOff>0</xdr:rowOff>
                  </to>
                </anchor>
              </controlPr>
            </control>
          </mc:Choice>
        </mc:AlternateContent>
        <mc:AlternateContent xmlns:mc="http://schemas.openxmlformats.org/markup-compatibility/2006">
          <mc:Choice Requires="x14">
            <control shapeId="1039" r:id="rId8" name="Btn_1_Clear">
              <controlPr defaultSize="0" autoFill="0" autoPict="0" macro="[0]!'ButtonClearSheet 1'">
                <anchor moveWithCells="1" sizeWithCells="1">
                  <from>
                    <xdr:col>2</xdr:col>
                    <xdr:colOff>9525</xdr:colOff>
                    <xdr:row>4</xdr:row>
                    <xdr:rowOff>38100</xdr:rowOff>
                  </from>
                  <to>
                    <xdr:col>3</xdr:col>
                    <xdr:colOff>0</xdr:colOff>
                    <xdr:row>5</xdr:row>
                    <xdr:rowOff>0</xdr:rowOff>
                  </to>
                </anchor>
              </controlPr>
            </control>
          </mc:Choice>
        </mc:AlternateContent>
        <mc:AlternateContent xmlns:mc="http://schemas.openxmlformats.org/markup-compatibility/2006">
          <mc:Choice Requires="x14">
            <control shapeId="1028" r:id="rId9" name="Btn_2_Load">
              <controlPr defaultSize="0" autoFill="0" autoPict="0" macro="[0]!'ImportCSVFile 2'">
                <anchor moveWithCells="1" sizeWithCells="1">
                  <from>
                    <xdr:col>3</xdr:col>
                    <xdr:colOff>9525</xdr:colOff>
                    <xdr:row>1</xdr:row>
                    <xdr:rowOff>95250</xdr:rowOff>
                  </from>
                  <to>
                    <xdr:col>4</xdr:col>
                    <xdr:colOff>0</xdr:colOff>
                    <xdr:row>4</xdr:row>
                    <xdr:rowOff>28575</xdr:rowOff>
                  </to>
                </anchor>
              </controlPr>
            </control>
          </mc:Choice>
        </mc:AlternateContent>
        <mc:AlternateContent xmlns:mc="http://schemas.openxmlformats.org/markup-compatibility/2006">
          <mc:Choice Requires="x14">
            <control shapeId="1029" r:id="rId10" name="Btn_3_Load">
              <controlPr defaultSize="0" autoFill="0" autoPict="0" macro="[0]!'ImportCSVFile 3'">
                <anchor moveWithCells="1" sizeWithCells="1">
                  <from>
                    <xdr:col>4</xdr:col>
                    <xdr:colOff>9525</xdr:colOff>
                    <xdr:row>1</xdr:row>
                    <xdr:rowOff>95250</xdr:rowOff>
                  </from>
                  <to>
                    <xdr:col>5</xdr:col>
                    <xdr:colOff>0</xdr:colOff>
                    <xdr:row>4</xdr:row>
                    <xdr:rowOff>28575</xdr:rowOff>
                  </to>
                </anchor>
              </controlPr>
            </control>
          </mc:Choice>
        </mc:AlternateContent>
        <mc:AlternateContent xmlns:mc="http://schemas.openxmlformats.org/markup-compatibility/2006">
          <mc:Choice Requires="x14">
            <control shapeId="1040" r:id="rId11" name="Btn_2_Clear">
              <controlPr defaultSize="0" autoFill="0" autoPict="0" macro="[0]!'ButtonClearSheet 2'">
                <anchor moveWithCells="1" sizeWithCells="1">
                  <from>
                    <xdr:col>3</xdr:col>
                    <xdr:colOff>9525</xdr:colOff>
                    <xdr:row>4</xdr:row>
                    <xdr:rowOff>38100</xdr:rowOff>
                  </from>
                  <to>
                    <xdr:col>4</xdr:col>
                    <xdr:colOff>0</xdr:colOff>
                    <xdr:row>5</xdr:row>
                    <xdr:rowOff>0</xdr:rowOff>
                  </to>
                </anchor>
              </controlPr>
            </control>
          </mc:Choice>
        </mc:AlternateContent>
        <mc:AlternateContent xmlns:mc="http://schemas.openxmlformats.org/markup-compatibility/2006">
          <mc:Choice Requires="x14">
            <control shapeId="1041" r:id="rId12" name="Btn_3_Clear">
              <controlPr defaultSize="0" autoFill="0" autoPict="0" macro="[0]!'ButtonClearSheet 3'">
                <anchor moveWithCells="1" sizeWithCells="1">
                  <from>
                    <xdr:col>4</xdr:col>
                    <xdr:colOff>9525</xdr:colOff>
                    <xdr:row>4</xdr:row>
                    <xdr:rowOff>38100</xdr:rowOff>
                  </from>
                  <to>
                    <xdr:col>5</xdr:col>
                    <xdr:colOff>0</xdr:colOff>
                    <xdr:row>5</xdr:row>
                    <xdr:rowOff>0</xdr:rowOff>
                  </to>
                </anchor>
              </controlPr>
            </control>
          </mc:Choice>
        </mc:AlternateContent>
        <mc:AlternateContent xmlns:mc="http://schemas.openxmlformats.org/markup-compatibility/2006">
          <mc:Choice Requires="x14">
            <control shapeId="1062" r:id="rId13" name="Menu_SummaryTableFormula">
              <controlPr defaultSize="0" autoLine="0" autoPict="0">
                <anchor moveWithCells="1">
                  <from>
                    <xdr:col>6</xdr:col>
                    <xdr:colOff>19050</xdr:colOff>
                    <xdr:row>2</xdr:row>
                    <xdr:rowOff>180975</xdr:rowOff>
                  </from>
                  <to>
                    <xdr:col>6</xdr:col>
                    <xdr:colOff>1333500</xdr:colOff>
                    <xdr:row>3</xdr:row>
                    <xdr:rowOff>171450</xdr:rowOff>
                  </to>
                </anchor>
              </controlPr>
            </control>
          </mc:Choice>
        </mc:AlternateContent>
        <mc:AlternateContent xmlns:mc="http://schemas.openxmlformats.org/markup-compatibility/2006">
          <mc:Choice Requires="x14">
            <control shapeId="1063" r:id="rId14" name="Option Button 39">
              <controlPr defaultSize="0" autoFill="0" autoLine="0" autoPict="0">
                <anchor moveWithCells="1">
                  <from>
                    <xdr:col>3</xdr:col>
                    <xdr:colOff>1200150</xdr:colOff>
                    <xdr:row>11</xdr:row>
                    <xdr:rowOff>9525</xdr:rowOff>
                  </from>
                  <to>
                    <xdr:col>4</xdr:col>
                    <xdr:colOff>1495425</xdr:colOff>
                    <xdr:row>12</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1" tint="0.249977111117893"/>
  </sheetPr>
  <dimension ref="A1:N152"/>
  <sheetViews>
    <sheetView workbookViewId="0"/>
  </sheetViews>
  <sheetFormatPr defaultColWidth="9.140625" defaultRowHeight="15" x14ac:dyDescent="0.25"/>
  <cols>
    <col min="1" max="1" width="34.85546875" style="29" bestFit="1" customWidth="1"/>
    <col min="2" max="2" width="29.7109375" style="29" bestFit="1" customWidth="1"/>
    <col min="3" max="5" width="8.5703125" style="29" customWidth="1"/>
    <col min="6" max="8" width="2.85546875" style="29" customWidth="1"/>
    <col min="9" max="11" width="28.5703125" style="29" customWidth="1"/>
    <col min="12" max="14" width="9.28515625" style="29" customWidth="1"/>
    <col min="15" max="15" width="9.140625" style="29" customWidth="1"/>
    <col min="16" max="16384" width="9.140625" style="29"/>
  </cols>
  <sheetData>
    <row r="1" spans="1:9" x14ac:dyDescent="0.25">
      <c r="A1" s="28" t="s">
        <v>200</v>
      </c>
      <c r="B1" s="5" t="s">
        <v>197</v>
      </c>
      <c r="C1" s="115" t="s">
        <v>198</v>
      </c>
      <c r="D1" s="115"/>
      <c r="E1" s="115"/>
    </row>
    <row r="2" spans="1:9" x14ac:dyDescent="0.25">
      <c r="A2" s="2" t="s">
        <v>2</v>
      </c>
      <c r="B2" s="24" t="b">
        <f>IF(Meta_NumberOfCaptures=1, TRUE, IF(Meta_NumberOfCaptures=2, Capture1_ReportedApplication=Capture2_ReportedApplication, IF(Meta_NumberOfCaptures=3, AND(Capture1_ReportedApplication=Capture2_ReportedApplication, Capture2_ReportedApplication=Capture3_ReportedApplication), FALSE)))</f>
        <v>0</v>
      </c>
      <c r="C2" s="134" t="b">
        <f>IF(Meta_NumberOfCaptures=1, TRUE, IF(Meta_NumberOfCaptures=2, Results!C7=Results!D7, IF(Meta_NumberOfCaptures=3, AND(Results!C7=Results!D7, Results!D7=Results!E7), FALSE)))</f>
        <v>0</v>
      </c>
      <c r="D2" s="134"/>
      <c r="E2" s="134"/>
    </row>
    <row r="3" spans="1:9" x14ac:dyDescent="0.25">
      <c r="A3" s="2" t="s">
        <v>164</v>
      </c>
      <c r="B3" s="24" t="b">
        <f>IF(Meta_NumberOfCaptures=1, TRUE, IF(Meta_NumberOfCaptures=2, Capture1_ReportedRuntime=Capture2_ReportedRuntime, IF(Meta_NumberOfCaptures=3, AND(Capture1_ReportedRuntime=Capture2_ReportedRuntime, Capture2_ReportedRuntime=Capture3_ReportedRuntime), FALSE)))</f>
        <v>0</v>
      </c>
      <c r="C3" s="134" t="b">
        <f>IF(Meta_NumberOfCaptures=1, TRUE, IF(Meta_NumberOfCaptures=2, Results!C8=Results!D8, IF(Meta_NumberOfCaptures=3, AND(Results!C8=Results!D8, Results!D8=Results!E8), FALSE)))</f>
        <v>0</v>
      </c>
      <c r="D3" s="134"/>
      <c r="E3" s="134"/>
    </row>
    <row r="4" spans="1:9" x14ac:dyDescent="0.25">
      <c r="A4" s="2" t="s">
        <v>3</v>
      </c>
      <c r="B4" s="24" t="b">
        <f>IF(Meta_NumberOfCaptures=1, TRUE, IF(Meta_NumberOfCaptures=2, Capture1_ReportedResolution=Capture2_ReportedResolution, IF(Meta_NumberOfCaptures=3, AND(Capture1_ReportedResolution=Capture2_ReportedResolution, Capture2_ReportedResolution=Capture3_ReportedResolution), FALSE)))</f>
        <v>0</v>
      </c>
      <c r="C4" s="134" t="b">
        <f>IF(Meta_NumberOfCaptures=1, TRUE, IF(Meta_NumberOfCaptures=2, Results!C9=Results!D9, IF(Meta_NumberOfCaptures=3, AND(Results!C9=Results!D9, Results!D9=Results!E9), FALSE)))</f>
        <v>0</v>
      </c>
      <c r="D4" s="134"/>
      <c r="E4" s="134"/>
    </row>
    <row r="5" spans="1:9" x14ac:dyDescent="0.25">
      <c r="A5" s="2" t="s">
        <v>163</v>
      </c>
      <c r="B5" s="24" t="b">
        <f>IF(Meta_NumberOfCaptures=1, TRUE, IF(Meta_NumberOfCaptures=2, Capture1_ReportedGPU=Capture2_ReportedGPU, IF(Meta_NumberOfCaptures=3, AND(Capture1_ReportedGPU=Capture2_ReportedGPU, Capture2_ReportedGPU=Capture3_ReportedGPU), FALSE)))</f>
        <v>0</v>
      </c>
      <c r="C5" s="134" t="b">
        <f>IF(Meta_NumberOfCaptures=1, TRUE, IF(Meta_NumberOfCaptures=2, Results!C10=Results!D10, IF(Meta_NumberOfCaptures=3, AND(Results!C10=Results!D10, Results!D10=Results!E10), FALSE)))</f>
        <v>0</v>
      </c>
      <c r="D5" s="134"/>
      <c r="E5" s="134"/>
    </row>
    <row r="6" spans="1:9" x14ac:dyDescent="0.25">
      <c r="A6" s="2" t="s">
        <v>184</v>
      </c>
      <c r="B6" s="24" t="b">
        <f>IF(Meta_NumberOfCaptures=1, TRUE, IF(Meta_NumberOfCaptures=2, Results!C11=Results!D11, IF(Meta_NumberOfCaptures=3, AND(Results!C11=Results!D11, Results!D11=Results!E11), FALSE)))</f>
        <v>0</v>
      </c>
      <c r="C6" s="134"/>
      <c r="D6" s="134"/>
      <c r="E6" s="134"/>
    </row>
    <row r="7" spans="1:9" x14ac:dyDescent="0.25">
      <c r="A7" s="119" t="s">
        <v>178</v>
      </c>
      <c r="B7" s="119"/>
      <c r="C7" s="119"/>
      <c r="D7" s="119"/>
      <c r="E7" s="119"/>
      <c r="F7" s="119"/>
      <c r="G7" s="119"/>
      <c r="H7" s="119"/>
    </row>
    <row r="8" spans="1:9" x14ac:dyDescent="0.25">
      <c r="A8" s="2" t="s">
        <v>161</v>
      </c>
      <c r="B8" s="133" t="str">
        <f>IF(SUM($C$34:$C$36)&gt;0, SUBSTITUTE(SUBSTITUTE(SUBSTITUTE(SUBSTITUTE(SUBSTITUTE(Tags_ChartTitles, "[Application]", IF(AND(B2, C2), Results!C7, "Different Applications")), "[Resolution]", IF(AND(B4, C4), Results!C9, "Different Resolutions")), "[GPU]", IF(AND(B5, C5), Results!C10, "Different GPUs")), "[Variable]", IF(AND(B6, C6), Results!C11, "Different Variables")), "[Runtime]", IF(AND(B3, C3), Results!C8, "Different Runtimes")), "")</f>
        <v/>
      </c>
      <c r="C8" s="133"/>
      <c r="D8" s="133"/>
      <c r="E8" s="133"/>
      <c r="F8" s="133"/>
      <c r="G8" s="133"/>
      <c r="H8" s="133"/>
    </row>
    <row r="9" spans="1:9" x14ac:dyDescent="0.25">
      <c r="A9" s="2" t="s">
        <v>169</v>
      </c>
      <c r="B9" s="121" t="str">
        <f>IF(Capture1_Valid, SUBSTITUTE(SUBSTITUTE(SUBSTITUTE(SUBSTITUTE(Tags_CaptureVariables, "[Application]", Results!C7), "[Resolution]", Results!C9), "[GPU]", Results!C10), "[Variable]", IF(Results!C11="", "Capture #1", Results!C11)), "")</f>
        <v/>
      </c>
      <c r="C9" s="122"/>
      <c r="D9" s="122"/>
      <c r="E9" s="122"/>
      <c r="F9" s="122"/>
      <c r="G9" s="122"/>
      <c r="H9" s="123"/>
    </row>
    <row r="10" spans="1:9" x14ac:dyDescent="0.25">
      <c r="A10" s="2" t="s">
        <v>170</v>
      </c>
      <c r="B10" s="121" t="str">
        <f>IF(Capture2_Valid, SUBSTITUTE(SUBSTITUTE(SUBSTITUTE(SUBSTITUTE(Tags_CaptureVariables, "[Application]", IF(B2, Results!C7, Results!D7)), "[Resolution]", IF(B4, Results!C9, Results!D9)), "[GPU]", IF(B5, Results!C10, Results!D10)), "[Variable]", IF(B6, IF(Results!C11="", "Capture #2", Results!C11), Results!D11)), "")</f>
        <v/>
      </c>
      <c r="C10" s="122"/>
      <c r="D10" s="122"/>
      <c r="E10" s="122"/>
      <c r="F10" s="122"/>
      <c r="G10" s="122"/>
      <c r="H10" s="123"/>
    </row>
    <row r="11" spans="1:9" x14ac:dyDescent="0.25">
      <c r="A11" s="2" t="s">
        <v>171</v>
      </c>
      <c r="B11" s="121" t="str">
        <f>IF(Capture3_Valid, SUBSTITUTE(SUBSTITUTE(SUBSTITUTE(SUBSTITUTE(Tags_CaptureVariables, "[Application]", IF(B2, Results!C7, Results!E7)), "[Resolution]", IF(B4, Results!C9, Results!E9)), "[GPU]", IF(B5, Results!C10, Results!E10)), "[Variable]", IF(B6, IF(Results!C11="", "Capture #3", Results!C11), Results!E11)), "")</f>
        <v/>
      </c>
      <c r="C11" s="122"/>
      <c r="D11" s="122"/>
      <c r="E11" s="122"/>
      <c r="F11" s="122"/>
      <c r="G11" s="122"/>
      <c r="H11" s="123"/>
    </row>
    <row r="12" spans="1:9" x14ac:dyDescent="0.25">
      <c r="A12" s="119" t="s">
        <v>216</v>
      </c>
      <c r="B12" s="119"/>
      <c r="C12" s="119"/>
      <c r="D12" s="119"/>
      <c r="E12" s="119"/>
      <c r="F12" s="119"/>
      <c r="G12" s="119"/>
      <c r="H12" s="119"/>
      <c r="I12" s="119"/>
    </row>
    <row r="13" spans="1:9" x14ac:dyDescent="0.25">
      <c r="A13" s="2" t="str">
        <f>CONCATENATE(Meta_TableFormula, " Frame Rate (fps)")</f>
        <v>Average Frame Rate (fps)</v>
      </c>
      <c r="B13" s="120" t="str">
        <f>CONCATENATE(Meta_StaticChartProperties, A13)</f>
        <v>Average Frame Rate (fps)</v>
      </c>
      <c r="C13" s="120"/>
      <c r="D13" s="120"/>
      <c r="E13" s="120"/>
      <c r="F13" s="120"/>
      <c r="G13" s="120"/>
      <c r="H13" s="120"/>
      <c r="I13" s="120"/>
    </row>
    <row r="14" spans="1:9" x14ac:dyDescent="0.25">
      <c r="A14" s="2" t="str">
        <f>CONCATENATE(Meta_TableFormula, " Power Draw (W)")</f>
        <v>Average Power Draw (W)</v>
      </c>
      <c r="B14" s="120" t="str">
        <f>CONCATENATE(Meta_StaticChartProperties, A14)</f>
        <v>Average Power Draw (W)</v>
      </c>
      <c r="C14" s="120"/>
      <c r="D14" s="120"/>
      <c r="E14" s="120"/>
      <c r="F14" s="120"/>
      <c r="G14" s="120"/>
      <c r="H14" s="120"/>
      <c r="I14" s="120"/>
    </row>
    <row r="15" spans="1:9" x14ac:dyDescent="0.25">
      <c r="A15" s="2" t="str">
        <f>CONCATENATE(Meta_TableFormula, " Perf/Watt")</f>
        <v>Average Perf/Watt</v>
      </c>
      <c r="B15" s="120" t="str">
        <f>CONCATENATE(Meta_StaticChartProperties, A15)</f>
        <v>Average Perf/Watt</v>
      </c>
      <c r="C15" s="120"/>
      <c r="D15" s="120"/>
      <c r="E15" s="120"/>
      <c r="F15" s="120"/>
      <c r="G15" s="120"/>
      <c r="H15" s="120"/>
      <c r="I15" s="120"/>
    </row>
    <row r="16" spans="1:9" x14ac:dyDescent="0.25">
      <c r="A16" s="2" t="str">
        <f>CONCATENATE(Meta_TableFormula, " Render Present Latency (ms)")</f>
        <v>Average Render Present Latency (ms)</v>
      </c>
      <c r="B16" s="120" t="str">
        <f>CONCATENATE(Meta_StaticChartProperties, A16)</f>
        <v>Average Render Present Latency (ms)</v>
      </c>
      <c r="C16" s="120"/>
      <c r="D16" s="120"/>
      <c r="E16" s="120"/>
      <c r="F16" s="120"/>
      <c r="G16" s="120"/>
      <c r="H16" s="120"/>
      <c r="I16" s="120"/>
    </row>
    <row r="17" spans="1:9" x14ac:dyDescent="0.25">
      <c r="A17" s="119" t="s">
        <v>217</v>
      </c>
      <c r="B17" s="119"/>
      <c r="C17" s="119"/>
      <c r="D17" s="119"/>
      <c r="E17" s="119"/>
      <c r="F17" s="119"/>
      <c r="G17" s="119"/>
      <c r="H17" s="119"/>
      <c r="I17" s="119"/>
    </row>
    <row r="18" spans="1:9" x14ac:dyDescent="0.25">
      <c r="A18" s="2" t="s">
        <v>169</v>
      </c>
      <c r="B18" s="121" t="str">
        <f>IF(Capture1_Valid, CONCATENATE(Meta_StaticChartProperties, Capture1_Variable), "")</f>
        <v/>
      </c>
      <c r="C18" s="122"/>
      <c r="D18" s="122"/>
      <c r="E18" s="122"/>
      <c r="F18" s="122"/>
      <c r="G18" s="122"/>
      <c r="H18" s="122"/>
      <c r="I18" s="123"/>
    </row>
    <row r="19" spans="1:9" x14ac:dyDescent="0.25">
      <c r="A19" s="2" t="s">
        <v>170</v>
      </c>
      <c r="B19" s="121" t="str">
        <f>IF(Capture2_Valid, CONCATENATE(Meta_StaticChartProperties, Capture2_Variable), "")</f>
        <v/>
      </c>
      <c r="C19" s="122"/>
      <c r="D19" s="122"/>
      <c r="E19" s="122"/>
      <c r="F19" s="122"/>
      <c r="G19" s="122"/>
      <c r="H19" s="122"/>
      <c r="I19" s="123"/>
    </row>
    <row r="20" spans="1:9" x14ac:dyDescent="0.25">
      <c r="A20" s="2" t="s">
        <v>171</v>
      </c>
      <c r="B20" s="121" t="str">
        <f>IF(Capture3_Valid, CONCATENATE(Meta_StaticChartProperties, Capture3_Variable), "")</f>
        <v/>
      </c>
      <c r="C20" s="122"/>
      <c r="D20" s="122"/>
      <c r="E20" s="122"/>
      <c r="F20" s="122"/>
      <c r="G20" s="122"/>
      <c r="H20" s="122"/>
      <c r="I20" s="123"/>
    </row>
    <row r="21" spans="1:9" x14ac:dyDescent="0.25">
      <c r="A21" s="2" t="s">
        <v>254</v>
      </c>
      <c r="B21" s="120" t="str">
        <f>IF(Capture1_Valid, CONCATENATE(B18, ", PCAT versus API Power"), "")</f>
        <v/>
      </c>
      <c r="C21" s="120"/>
      <c r="D21" s="120"/>
      <c r="E21" s="120"/>
      <c r="F21" s="120"/>
      <c r="G21" s="120"/>
      <c r="H21" s="120"/>
      <c r="I21" s="120"/>
    </row>
    <row r="22" spans="1:9" x14ac:dyDescent="0.25">
      <c r="A22" s="2" t="s">
        <v>254</v>
      </c>
      <c r="B22" s="120" t="str">
        <f>IF(Capture2_Valid, CONCATENATE(B19, ", PCAT versus API Power"), "")</f>
        <v/>
      </c>
      <c r="C22" s="120"/>
      <c r="D22" s="120"/>
      <c r="E22" s="120"/>
      <c r="F22" s="120"/>
      <c r="G22" s="120"/>
      <c r="H22" s="120"/>
      <c r="I22" s="120"/>
    </row>
    <row r="23" spans="1:9" x14ac:dyDescent="0.25">
      <c r="A23" s="2" t="s">
        <v>254</v>
      </c>
      <c r="B23" s="120" t="str">
        <f>IF(Capture3_Valid, CONCATENATE(B20, ", PCAT versus API Power"), "")</f>
        <v/>
      </c>
      <c r="C23" s="120"/>
      <c r="D23" s="120"/>
      <c r="E23" s="120"/>
      <c r="F23" s="120"/>
      <c r="G23" s="120"/>
      <c r="H23" s="120"/>
      <c r="I23" s="120"/>
    </row>
    <row r="24" spans="1:9" x14ac:dyDescent="0.25">
      <c r="A24" s="2" t="s">
        <v>224</v>
      </c>
      <c r="B24" s="120" t="str">
        <f t="shared" ref="B24:B32" si="0">CONCATENATE(Meta_StaticChartProperties, A24)</f>
        <v>Frame Rate</v>
      </c>
      <c r="C24" s="120"/>
      <c r="D24" s="120"/>
      <c r="E24" s="120"/>
      <c r="F24" s="120"/>
      <c r="G24" s="120"/>
      <c r="H24" s="120"/>
      <c r="I24" s="120"/>
    </row>
    <row r="25" spans="1:9" x14ac:dyDescent="0.25">
      <c r="A25" s="2" t="s">
        <v>185</v>
      </c>
      <c r="B25" s="120" t="str">
        <f t="shared" si="0"/>
        <v>Power Draw</v>
      </c>
      <c r="C25" s="120"/>
      <c r="D25" s="120"/>
      <c r="E25" s="120"/>
      <c r="F25" s="120"/>
      <c r="G25" s="120"/>
      <c r="H25" s="120"/>
      <c r="I25" s="120"/>
    </row>
    <row r="26" spans="1:9" x14ac:dyDescent="0.25">
      <c r="A26" s="2" t="s">
        <v>187</v>
      </c>
      <c r="B26" s="120" t="str">
        <f t="shared" si="0"/>
        <v>Perf/Watt</v>
      </c>
      <c r="C26" s="120"/>
      <c r="D26" s="120"/>
      <c r="E26" s="120"/>
      <c r="F26" s="120"/>
      <c r="G26" s="120"/>
      <c r="H26" s="120"/>
      <c r="I26" s="120"/>
    </row>
    <row r="27" spans="1:9" x14ac:dyDescent="0.25">
      <c r="A27" s="2" t="s">
        <v>261</v>
      </c>
      <c r="B27" s="120" t="str">
        <f t="shared" si="0"/>
        <v>Render Present Latency</v>
      </c>
      <c r="C27" s="120"/>
      <c r="D27" s="120"/>
      <c r="E27" s="120"/>
      <c r="F27" s="120"/>
      <c r="G27" s="120"/>
      <c r="H27" s="120"/>
      <c r="I27" s="120"/>
    </row>
    <row r="28" spans="1:9" x14ac:dyDescent="0.25">
      <c r="A28" s="2" t="s">
        <v>179</v>
      </c>
      <c r="B28" s="120" t="str">
        <f t="shared" si="0"/>
        <v>Render Queue Depth</v>
      </c>
      <c r="C28" s="120"/>
      <c r="D28" s="120"/>
      <c r="E28" s="120"/>
      <c r="F28" s="120"/>
      <c r="G28" s="120"/>
      <c r="H28" s="120"/>
      <c r="I28" s="120"/>
    </row>
    <row r="29" spans="1:9" x14ac:dyDescent="0.25">
      <c r="A29" s="2" t="s">
        <v>186</v>
      </c>
      <c r="B29" s="120" t="str">
        <f t="shared" si="0"/>
        <v>GPU0 Graphics Clock</v>
      </c>
      <c r="C29" s="120"/>
      <c r="D29" s="120"/>
      <c r="E29" s="120"/>
      <c r="F29" s="120"/>
      <c r="G29" s="120"/>
      <c r="H29" s="120"/>
      <c r="I29" s="120"/>
    </row>
    <row r="30" spans="1:9" x14ac:dyDescent="0.25">
      <c r="A30" s="2" t="s">
        <v>156</v>
      </c>
      <c r="B30" s="120" t="str">
        <f t="shared" si="0"/>
        <v>CPU Clock</v>
      </c>
      <c r="C30" s="120"/>
      <c r="D30" s="120"/>
      <c r="E30" s="120"/>
      <c r="F30" s="120"/>
      <c r="G30" s="120"/>
      <c r="H30" s="120"/>
      <c r="I30" s="120"/>
    </row>
    <row r="31" spans="1:9" x14ac:dyDescent="0.25">
      <c r="A31" s="2" t="s">
        <v>159</v>
      </c>
      <c r="B31" s="120" t="str">
        <f t="shared" si="0"/>
        <v>GPU0 Temperature</v>
      </c>
      <c r="C31" s="120"/>
      <c r="D31" s="120"/>
      <c r="E31" s="120"/>
      <c r="F31" s="120"/>
      <c r="G31" s="120"/>
      <c r="H31" s="120"/>
      <c r="I31" s="120"/>
    </row>
    <row r="32" spans="1:9" x14ac:dyDescent="0.25">
      <c r="A32" s="2" t="s">
        <v>191</v>
      </c>
      <c r="B32" s="120" t="str">
        <f t="shared" si="0"/>
        <v>CPU Temperature</v>
      </c>
      <c r="C32" s="120"/>
      <c r="D32" s="120"/>
      <c r="E32" s="120"/>
      <c r="F32" s="120"/>
      <c r="G32" s="120"/>
      <c r="H32" s="120"/>
      <c r="I32" s="120"/>
    </row>
    <row r="33" spans="1:14" x14ac:dyDescent="0.25">
      <c r="A33" s="28" t="s">
        <v>14</v>
      </c>
      <c r="B33" s="5" t="s">
        <v>199</v>
      </c>
      <c r="C33" s="5" t="s">
        <v>15</v>
      </c>
      <c r="D33" s="5" t="s">
        <v>167</v>
      </c>
      <c r="E33" s="57" t="s">
        <v>255</v>
      </c>
    </row>
    <row r="34" spans="1:14" x14ac:dyDescent="0.25">
      <c r="A34" s="2" t="s">
        <v>172</v>
      </c>
      <c r="B34" s="23" t="b">
        <f>IFERROR(SEARCH("NVIDIA", Capture1_ReportedGPU)&gt;0, FALSE)</f>
        <v>0</v>
      </c>
      <c r="C34" s="23">
        <f>Capture1_Length</f>
        <v>0</v>
      </c>
      <c r="D34" s="23">
        <f>COUNT(I76:I139)</f>
        <v>0</v>
      </c>
      <c r="E34" s="58" t="b">
        <f>ISNUMBER(INDEX('Capture #1 CSV'!$A:$FF,F61,C61))</f>
        <v>0</v>
      </c>
    </row>
    <row r="35" spans="1:14" x14ac:dyDescent="0.25">
      <c r="A35" s="2" t="s">
        <v>173</v>
      </c>
      <c r="B35" s="23" t="b">
        <f>IFERROR(SEARCH("NVIDIA", Capture2_ReportedGPU)&gt;0, FALSE)</f>
        <v>0</v>
      </c>
      <c r="C35" s="23">
        <f>Capture2_Length</f>
        <v>0</v>
      </c>
      <c r="D35" s="23">
        <f>COUNT(J76:J139)</f>
        <v>0</v>
      </c>
      <c r="E35" s="58" t="b">
        <f>ISNUMBER(INDEX('Capture #2 CSV'!$A:$FF, G61, D61))</f>
        <v>0</v>
      </c>
    </row>
    <row r="36" spans="1:14" x14ac:dyDescent="0.25">
      <c r="A36" s="32" t="s">
        <v>174</v>
      </c>
      <c r="B36" s="33" t="b">
        <f>IFERROR(SEARCH("NVIDIA", Capture3_ReportedGPU)&gt;0, FALSE)</f>
        <v>0</v>
      </c>
      <c r="C36" s="33">
        <f>Capture3_Length</f>
        <v>0</v>
      </c>
      <c r="D36" s="33">
        <f>COUNT(K76:K139)</f>
        <v>0</v>
      </c>
      <c r="E36" s="58" t="b">
        <f>ISNUMBER(INDEX('Capture #3 CSV'!$A:$FF, H61, E61))</f>
        <v>0</v>
      </c>
    </row>
    <row r="37" spans="1:14" x14ac:dyDescent="0.25">
      <c r="A37" s="27" t="s">
        <v>215</v>
      </c>
      <c r="B37" s="35" t="s">
        <v>194</v>
      </c>
      <c r="C37" s="115" t="s">
        <v>195</v>
      </c>
      <c r="D37" s="115"/>
      <c r="E37" s="115"/>
      <c r="F37" s="115" t="s">
        <v>196</v>
      </c>
      <c r="G37" s="115"/>
      <c r="H37" s="115"/>
      <c r="I37" s="115" t="s">
        <v>165</v>
      </c>
      <c r="J37" s="115"/>
      <c r="K37" s="115"/>
      <c r="L37" s="115" t="s">
        <v>231</v>
      </c>
      <c r="M37" s="115"/>
      <c r="N37" s="115"/>
    </row>
    <row r="38" spans="1:14" x14ac:dyDescent="0.25">
      <c r="A38" s="34" t="s">
        <v>166</v>
      </c>
      <c r="B38" s="37" t="s">
        <v>2</v>
      </c>
      <c r="C38" s="38" t="str">
        <f>IF(Capture1_Valid, IFERROR(MATCH($B38, 'Capture #1 CSV'!$1:$1, 0), ""), "")</f>
        <v/>
      </c>
      <c r="D38" s="38" t="str">
        <f>IF(Capture2_Valid, IFERROR(MATCH($B38, 'Capture #2 CSV'!$1:$1, 0), ""), "")</f>
        <v/>
      </c>
      <c r="E38" s="38" t="str">
        <f>IF(Capture3_Valid, IFERROR(MATCH($B38, 'Capture #3 CSV'!$1:$1, 0), ""), "")</f>
        <v/>
      </c>
      <c r="F38" s="65" t="str">
        <f>IF(ISNUMBER(C38), Capture1_Length-COUNTA(INDEX('Capture #1 CSV'!$A:$FF, 2, C38):INDEX('Capture #1 CSV'!$A:$FF, Capture1_Length, C38))+1, "")</f>
        <v/>
      </c>
      <c r="G38" s="65" t="str">
        <f>IF(ISNUMBER(D38), Capture2_Length-COUNTA(INDEX('Capture #2 CSV'!$A:$FF, 2, D38):INDEX('Capture #2 CSV'!$A:$FF, Capture2_Length, D38))+1, "")</f>
        <v/>
      </c>
      <c r="H38" s="65" t="str">
        <f>IF(ISNUMBER(E38), Capture3_Length-COUNTA(INDEX('Capture #3 CSV'!$A:$FF, 2, E38):INDEX('Capture #3 CSV'!$A:$FF, Capture3_Length, E38))+1, "")</f>
        <v/>
      </c>
      <c r="I38" s="63" t="str">
        <f>IFERROR(INDEX('Capture #1 CSV'!$A:$FF, F38, C38), "")</f>
        <v/>
      </c>
      <c r="J38" s="63" t="str">
        <f>IFERROR(INDEX('Capture #2 CSV'!$A:$FF, G38, D38), "")</f>
        <v/>
      </c>
      <c r="K38" s="63" t="str">
        <f>IFERROR(INDEX('Capture #3 CSV'!$A:$FF, H38, E38), "")</f>
        <v/>
      </c>
      <c r="L38" s="40" t="str">
        <f>IF(Capture1_Valid, IFERROR((Capture1_Length-1)-COUNTIF(INDEX('Capture #1 CSV'!$A:$FF, F38, C38):INDEX('Capture #1 CSV'!$A:$FF, Capture1_Length, C38), I38), ""), "")</f>
        <v/>
      </c>
      <c r="M38" s="40" t="str">
        <f>IF(Capture2_Valid, IFERROR((Capture2_Length-1)-COUNTIF(INDEX('Capture #2 CSV'!$A:$FF, G38, D38):INDEX('Capture #2 CSV'!$A:$FF, Capture2_Length, D38), J38), ""), "")</f>
        <v/>
      </c>
      <c r="N38" s="40" t="str">
        <f>IF(Capture3_Valid, IFERROR((Capture3_Length-1)-COUNTIF(INDEX('Capture #3 CSV'!$A:$FF, H38, E38):INDEX('Capture #3 CSV'!$A:$FF, Capture3_Length, E38), K38), ""), "")</f>
        <v/>
      </c>
    </row>
    <row r="39" spans="1:14" x14ac:dyDescent="0.25">
      <c r="A39" s="2" t="s">
        <v>162</v>
      </c>
      <c r="B39" s="64" t="s">
        <v>163</v>
      </c>
      <c r="C39" s="62" t="str">
        <f>IF(Capture1_Valid, IFERROR(MATCH($B39, 'Capture #1 CSV'!$1:$1, 0), ""), "")</f>
        <v/>
      </c>
      <c r="D39" s="62" t="str">
        <f>IF(Capture2_Valid, IFERROR(MATCH($B39, 'Capture #2 CSV'!$1:$1, 0), ""), "")</f>
        <v/>
      </c>
      <c r="E39" s="62" t="str">
        <f>IF(Capture3_Valid, IFERROR(MATCH($B39, 'Capture #3 CSV'!$1:$1, 0), ""), "")</f>
        <v/>
      </c>
      <c r="F39" s="61" t="str">
        <f>IF(ISNUMBER(C39), Capture1_Length-COUNTA(INDEX('Capture #1 CSV'!$A:$FF, 2, C39):INDEX('Capture #1 CSV'!$A:$FF, Capture1_Length, C39))+1, "")</f>
        <v/>
      </c>
      <c r="G39" s="61" t="str">
        <f>IF(ISNUMBER(D39), Capture2_Length-COUNTA(INDEX('Capture #2 CSV'!$A:$FF, 2, D39):INDEX('Capture #2 CSV'!$A:$FF, Capture2_Length, D39))+1, "")</f>
        <v/>
      </c>
      <c r="H39" s="61" t="str">
        <f>IF(ISNUMBER(E39), Capture3_Length-COUNTA(INDEX('Capture #3 CSV'!$A:$FF, 2, E39):INDEX('Capture #3 CSV'!$A:$FF, Capture3_Length, E39))+1, "")</f>
        <v/>
      </c>
      <c r="I39" s="63" t="str">
        <f>IFERROR(INDEX('Capture #1 CSV'!$A:$FF, F39, C39), "")</f>
        <v/>
      </c>
      <c r="J39" s="63" t="str">
        <f>IFERROR(INDEX('Capture #2 CSV'!$A:$FF, G39, D39), "")</f>
        <v/>
      </c>
      <c r="K39" s="63" t="str">
        <f>IFERROR(INDEX('Capture #3 CSV'!$A:$FF, H39, E39), "")</f>
        <v/>
      </c>
      <c r="L39" s="40" t="str">
        <f>IF(Capture1_Valid, IFERROR((Capture1_Length-1)-COUNTIF(INDEX('Capture #1 CSV'!$A:$FF, F39, C39):INDEX('Capture #1 CSV'!$A:$FF, Capture1_Length, C39), I39), ""), "")</f>
        <v/>
      </c>
      <c r="M39" s="40" t="str">
        <f>IF(Capture2_Valid, IFERROR((Capture2_Length-1)-COUNTIF(INDEX('Capture #2 CSV'!$A:$FF, G39, D39):INDEX('Capture #2 CSV'!$A:$FF, Capture2_Length, D39), J39), ""), "")</f>
        <v/>
      </c>
      <c r="N39" s="40" t="str">
        <f>IF(Capture3_Valid, IFERROR((Capture3_Length-1)-COUNTIF(INDEX('Capture #3 CSV'!$A:$FF, H39, E39):INDEX('Capture #3 CSV'!$A:$FF, Capture3_Length, E39), K39), ""), "")</f>
        <v/>
      </c>
    </row>
    <row r="40" spans="1:14" x14ac:dyDescent="0.25">
      <c r="A40" s="2" t="s">
        <v>175</v>
      </c>
      <c r="B40" s="64" t="s">
        <v>168</v>
      </c>
      <c r="C40" s="62" t="str">
        <f>IF(Capture1_Valid, IFERROR(MATCH($B40, 'Capture #1 CSV'!$1:$1, 0), ""), "")</f>
        <v/>
      </c>
      <c r="D40" s="62" t="str">
        <f>IF(Capture2_Valid, IFERROR(MATCH($B40, 'Capture #2 CSV'!$1:$1, 0), ""), "")</f>
        <v/>
      </c>
      <c r="E40" s="62" t="str">
        <f>IF(Capture3_Valid, IFERROR(MATCH($B40, 'Capture #3 CSV'!$1:$1, 0), ""), "")</f>
        <v/>
      </c>
      <c r="F40" s="61" t="str">
        <f>IF(ISNUMBER(C40), Capture1_Length-COUNTA(INDEX('Capture #1 CSV'!$A:$FF, 2, C40):INDEX('Capture #1 CSV'!$A:$FF, Capture1_Length, C40))+1, "")</f>
        <v/>
      </c>
      <c r="G40" s="61" t="str">
        <f>IF(ISNUMBER(D40), Capture2_Length-COUNTA(INDEX('Capture #2 CSV'!$A:$FF, 2, D40):INDEX('Capture #2 CSV'!$A:$FF, Capture2_Length, D40))+1, "")</f>
        <v/>
      </c>
      <c r="H40" s="61" t="str">
        <f>IF(ISNUMBER(E40), Capture3_Length-COUNTA(INDEX('Capture #3 CSV'!$A:$FF, 2, E40):INDEX('Capture #3 CSV'!$A:$FF, Capture3_Length, E40))+1, "")</f>
        <v/>
      </c>
      <c r="I40" s="63" t="str">
        <f>IFERROR(INDEX('Capture #1 CSV'!$A:$FF, F40, C40), "")</f>
        <v/>
      </c>
      <c r="J40" s="63" t="str">
        <f>IFERROR(INDEX('Capture #2 CSV'!$A:$FF, G40, D40), "")</f>
        <v/>
      </c>
      <c r="K40" s="63" t="str">
        <f>IFERROR(INDEX('Capture #3 CSV'!$A:$FF, H40, E40), "")</f>
        <v/>
      </c>
    </row>
    <row r="41" spans="1:14" x14ac:dyDescent="0.25">
      <c r="A41" s="2" t="s">
        <v>232</v>
      </c>
      <c r="B41" s="124" t="s">
        <v>3</v>
      </c>
      <c r="C41" s="117" t="str">
        <f>IF(Capture1_Valid, IFERROR(MATCH($B41, 'Capture #1 CSV'!$1:$1, 0), ""), "")</f>
        <v/>
      </c>
      <c r="D41" s="117" t="str">
        <f>IF(Capture2_Valid, IFERROR(MATCH($B41, 'Capture #2 CSV'!$1:$1, 0), ""), "")</f>
        <v/>
      </c>
      <c r="E41" s="117" t="str">
        <f>IF(Capture3_Valid, IFERROR(MATCH($B41, 'Capture #3 CSV'!$1:$1, 0), ""), "")</f>
        <v/>
      </c>
      <c r="F41" s="116" t="str">
        <f>IF(ISNUMBER(C41), Capture1_Length-COUNTA(INDEX('Capture #1 CSV'!$A:$FF, 2, C41):INDEX('Capture #1 CSV'!$A:$FF, Capture1_Length, C41))+1, "")</f>
        <v/>
      </c>
      <c r="G41" s="116" t="str">
        <f>IF(ISNUMBER(D41), Capture2_Length-COUNTA(INDEX('Capture #2 CSV'!$A:$FF, 2, D41):INDEX('Capture #2 CSV'!$A:$FF, Capture2_Length, D41))+1, "")</f>
        <v/>
      </c>
      <c r="H41" s="116" t="str">
        <f>IF(ISNUMBER(E41), Capture3_Length-COUNTA(INDEX('Capture #3 CSV'!$A:$FF, 2, E41):INDEX('Capture #3 CSV'!$A:$FF, Capture3_Length, E41))+1, "")</f>
        <v/>
      </c>
      <c r="I41" s="118" t="str">
        <f>IFERROR(INDEX('Capture #1 CSV'!$A:$FF, F41, C41), "")</f>
        <v/>
      </c>
      <c r="J41" s="118" t="str">
        <f>IFERROR(INDEX('Capture #2 CSV'!$A:$FF, G41, D41), "")</f>
        <v/>
      </c>
      <c r="K41" s="118" t="str">
        <f>IFERROR(INDEX('Capture #3 CSV'!$A:$FF, H41, E41), "")</f>
        <v/>
      </c>
      <c r="L41" s="40" t="str">
        <f t="array" ref="L41">IFERROR(IF(AND(ISNUMBER(C41), Capture1_Valid), SUM(IFERROR(SEARCH("WINDOWED", INDEX('Capture #1 CSV'!$A:$FF, Backend!F41, Backend!C41):INDEX('Capture #1 CSV'!$A:$FF, Capture1_Length, Backend!C41)), 0)), ""), "")</f>
        <v/>
      </c>
      <c r="M41" s="40" t="str">
        <f t="array" ref="M41">IFERROR(IF(AND(ISNUMBER(D41), Capture2_Valid), SUM(IFERROR(SEARCH("WINDOWED", INDEX('Capture #2 CSV'!$A:$FF, Backend!G41, Backend!D41):INDEX('Capture #2 CSV'!$A:$FF, Capture2_Length, Backend!D41)), 0)), ""), "")</f>
        <v/>
      </c>
      <c r="N41" s="40" t="str">
        <f t="array" ref="N41">IFERROR(IF(AND(ISNUMBER(E41), Capture3_Valid), SUM(IFERROR(SEARCH("WINDOWED", INDEX('Capture #3 CSV'!$A:$FF, Backend!H41, Backend!E41):INDEX('Capture #3 CSV'!$A:$FF, Capture3_Length, Backend!E41)), 0)), ""), "")</f>
        <v/>
      </c>
    </row>
    <row r="42" spans="1:14" x14ac:dyDescent="0.25">
      <c r="A42" s="2" t="s">
        <v>233</v>
      </c>
      <c r="B42" s="124"/>
      <c r="C42" s="117"/>
      <c r="D42" s="117"/>
      <c r="E42" s="117"/>
      <c r="F42" s="116"/>
      <c r="G42" s="116"/>
      <c r="H42" s="116"/>
      <c r="I42" s="118"/>
      <c r="J42" s="118"/>
      <c r="K42" s="118"/>
      <c r="L42" s="40" t="str">
        <f>IF(Capture1_Valid, IFERROR((Capture1_Length-1)-COUNTIF(INDEX('Capture #1 CSV'!$A:$FF, F41, C41):INDEX('Capture #1 CSV'!$A:$FF, Capture1_Length, C41), I41), ""), "")</f>
        <v/>
      </c>
      <c r="M42" s="40" t="str">
        <f>IF(Capture2_Valid, IFERROR((Capture2_Length-1)-COUNTIF(INDEX('Capture #2 CSV'!$A:$FF, G41, D41):INDEX('Capture #2 CSV'!$A:$FF, Capture2_Length, D41), J41), ""), "")</f>
        <v/>
      </c>
      <c r="N42" s="40" t="str">
        <f>IF(Capture3_Valid, IFERROR((Capture3_Length-1)-COUNTIF(INDEX('Capture #3 CSV'!$A:$FF, H41, E41):INDEX('Capture #3 CSV'!$A:$FF, Capture3_Length, E41), K41), ""), "")</f>
        <v/>
      </c>
    </row>
    <row r="43" spans="1:14" x14ac:dyDescent="0.25">
      <c r="A43" s="2" t="s">
        <v>234</v>
      </c>
      <c r="B43" s="124" t="s">
        <v>164</v>
      </c>
      <c r="C43" s="117" t="str">
        <f>IF(Capture1_Valid, IFERROR(MATCH($B43, 'Capture #1 CSV'!$1:$1, 0), ""), "")</f>
        <v/>
      </c>
      <c r="D43" s="117" t="str">
        <f>IF(Capture2_Valid, IFERROR(MATCH($B43, 'Capture #2 CSV'!$1:$1, 0), ""), "")</f>
        <v/>
      </c>
      <c r="E43" s="117" t="str">
        <f>IF(Capture3_Valid, IFERROR(MATCH($B43, 'Capture #3 CSV'!$1:$1, 0), ""), "")</f>
        <v/>
      </c>
      <c r="F43" s="116" t="str">
        <f>IF(ISNUMBER(C43), Capture1_Length-COUNTA(INDEX('Capture #1 CSV'!$A:$FF, 2, C43):INDEX('Capture #1 CSV'!$A:$FF, Capture1_Length, C43))+1, "")</f>
        <v/>
      </c>
      <c r="G43" s="116" t="str">
        <f>IF(ISNUMBER(D43), Capture2_Length-COUNTA(INDEX('Capture #2 CSV'!$A:$FF, 2, D43):INDEX('Capture #2 CSV'!$A:$FF, Capture2_Length, D43))+1, "")</f>
        <v/>
      </c>
      <c r="H43" s="116" t="str">
        <f>IF(ISNUMBER(E43), Capture3_Length-COUNTA(INDEX('Capture #3 CSV'!$A:$FF, 2, E43):INDEX('Capture #3 CSV'!$A:$FF, Capture3_Length, E43))+1, "")</f>
        <v/>
      </c>
      <c r="I43" s="118" t="str">
        <f>IFERROR(INDEX('Capture #1 CSV'!$A:$FF, F43, C43), "")</f>
        <v/>
      </c>
      <c r="J43" s="118" t="str">
        <f>IFERROR(INDEX('Capture #2 CSV'!$A:$FF, G43, D43), "")</f>
        <v/>
      </c>
      <c r="K43" s="118" t="str">
        <f>IFERROR(INDEX('Capture #3 CSV'!$A:$FF, H43, E43), "")</f>
        <v/>
      </c>
      <c r="L43" s="40" t="str">
        <f t="array" ref="L43">IFERROR(IF(AND(ISNUMBER(C43), Capture1_Valid), SUM(IFERROR(SEARCH("Other", INDEX('Capture #1 CSV'!$A:$FF, Backend!F43, Backend!C43):INDEX('Capture #1 CSV'!$A:$FF, Capture1_Length, Backend!C43)), 0)), ""), "")</f>
        <v/>
      </c>
      <c r="M43" s="40" t="str">
        <f t="array" ref="M43">IFERROR(IF(AND(ISNUMBER(D43), Capture2_Valid), SUM(IFERROR(SEARCH("Other", INDEX('Capture #2 CSV'!$A:$FF, Backend!G43, Backend!D43):INDEX('Capture #2 CSV'!$A:$FF, Capture2_Length, Backend!D43)), 0)), ""), "")</f>
        <v/>
      </c>
      <c r="N43" s="40" t="str">
        <f t="array" ref="N43">IFERROR(IF(AND(ISNUMBER(E43), Capture3_Valid), SUM(IFERROR(SEARCH("Other", INDEX('Capture #3 CSV'!$A:$FF, Backend!H43, Backend!E43):INDEX('Capture #3 CSV'!$A:$FF, Capture3_Length, Backend!E43)), 0)), ""), "")</f>
        <v/>
      </c>
    </row>
    <row r="44" spans="1:14" x14ac:dyDescent="0.25">
      <c r="A44" s="2" t="s">
        <v>235</v>
      </c>
      <c r="B44" s="124"/>
      <c r="C44" s="117"/>
      <c r="D44" s="117"/>
      <c r="E44" s="117"/>
      <c r="F44" s="116"/>
      <c r="G44" s="116"/>
      <c r="H44" s="116"/>
      <c r="I44" s="118"/>
      <c r="J44" s="118"/>
      <c r="K44" s="118"/>
      <c r="L44" s="40" t="str">
        <f>IF(Capture1_Valid, IFERROR((Capture1_Length-1)-COUNTIF(INDEX('Capture #1 CSV'!$A:$FF, F43, C43):INDEX('Capture #1 CSV'!$A:$FF, Capture1_Length, C43), I43), ""), "")</f>
        <v/>
      </c>
      <c r="M44" s="40" t="str">
        <f>IF(Capture2_Valid, IFERROR((Capture2_Length-1)-COUNTIF(INDEX('Capture #2 CSV'!$A:$FF, G43, D43):INDEX('Capture #2 CSV'!$A:$FF, Capture2_Length, D43), J43), ""), "")</f>
        <v/>
      </c>
      <c r="N44" s="40" t="str">
        <f>IF(Capture3_Valid, IFERROR((Capture3_Length-1)-COUNTIF(INDEX('Capture #3 CSV'!$A:$FF, H43, E43):INDEX('Capture #3 CSV'!$A:$FF, Capture3_Length, E43), K43), ""), "")</f>
        <v/>
      </c>
    </row>
    <row r="45" spans="1:14" x14ac:dyDescent="0.25">
      <c r="A45" s="2" t="s">
        <v>209</v>
      </c>
      <c r="B45" s="64" t="s">
        <v>202</v>
      </c>
      <c r="C45" s="62" t="str">
        <f>IF(Capture1_Valid, IFERROR(MATCH($B45, 'Capture #1 CSV'!$1:$1, 0), ""), "")</f>
        <v/>
      </c>
      <c r="D45" s="62" t="str">
        <f>IF(Capture2_Valid, IFERROR(MATCH($B45, 'Capture #2 CSV'!$1:$1, 0), ""), "")</f>
        <v/>
      </c>
      <c r="E45" s="62" t="str">
        <f>IF(Capture3_Valid, IFERROR(MATCH($B45, 'Capture #3 CSV'!$1:$1, 0), ""), "")</f>
        <v/>
      </c>
      <c r="F45" s="61" t="str">
        <f>IF(ISNUMBER(C45), Capture1_Length-COUNTA(INDEX('Capture #1 CSV'!$A:$FF, 2, C45):INDEX('Capture #1 CSV'!$A:$FF, Capture1_Length, C45))+1, "")</f>
        <v/>
      </c>
      <c r="G45" s="61" t="str">
        <f>IF(ISNUMBER(D45), Capture2_Length-COUNTA(INDEX('Capture #2 CSV'!$A:$FF, 2, D45):INDEX('Capture #2 CSV'!$A:$FF, Capture2_Length, D45))+1, "")</f>
        <v/>
      </c>
      <c r="H45" s="61" t="str">
        <f>IF(ISNUMBER(E45), Capture3_Length-COUNTA(INDEX('Capture #3 CSV'!$A:$FF, 2, E45):INDEX('Capture #3 CSV'!$A:$FF, Capture3_Length, E45))+1, "")</f>
        <v/>
      </c>
      <c r="I45" s="63"/>
      <c r="J45" s="63"/>
      <c r="K45" s="63"/>
      <c r="L45" s="40" t="str">
        <f>IF(Capture1_Valid, IFERROR(COUNTIF(INDEX('Capture #1 CSV'!$A:$FF, F45, C45):INDEX('Capture #1 CSV'!$A:$FF, Capture1_Length, C45), 0), ""), "")</f>
        <v/>
      </c>
      <c r="M45" s="40" t="str">
        <f>IF(Capture2_Valid, IFERROR(COUNTIF(INDEX('Capture #2 CSV'!$A:$FF, G45, D45):INDEX('Capture #2 CSV'!$A:$FF, Capture2_Length, D45), 0), ""), "")</f>
        <v/>
      </c>
      <c r="N45" s="40" t="str">
        <f>IF(Capture3_Valid, IFERROR(COUNTIF(INDEX('Capture #3 CSV'!$A:$FF, H45, E45):INDEX('Capture #3 CSV'!$A:$FF, Capture3_Length, E45), 0), ""), "")</f>
        <v/>
      </c>
    </row>
    <row r="46" spans="1:14" x14ac:dyDescent="0.25">
      <c r="A46" s="2" t="s">
        <v>210</v>
      </c>
      <c r="B46" s="64" t="s">
        <v>203</v>
      </c>
      <c r="C46" s="62" t="str">
        <f>IF(Capture1_Valid, IFERROR(MATCH($B46, 'Capture #1 CSV'!$1:$1, 0), ""), "")</f>
        <v/>
      </c>
      <c r="D46" s="62" t="str">
        <f>IF(Capture2_Valid, IFERROR(MATCH($B46, 'Capture #2 CSV'!$1:$1, 0), ""), "")</f>
        <v/>
      </c>
      <c r="E46" s="62" t="str">
        <f>IF(Capture3_Valid, IFERROR(MATCH($B46, 'Capture #3 CSV'!$1:$1, 0), ""), "")</f>
        <v/>
      </c>
      <c r="F46" s="61" t="str">
        <f>IF(ISNUMBER(C46), Capture1_Length-COUNTA(INDEX('Capture #1 CSV'!$A:$FF, 2, C46):INDEX('Capture #1 CSV'!$A:$FF, Capture1_Length, C46))+1, "")</f>
        <v/>
      </c>
      <c r="G46" s="61" t="str">
        <f>IF(ISNUMBER(D46), Capture2_Length-COUNTA(INDEX('Capture #2 CSV'!$A:$FF, 2, D46):INDEX('Capture #2 CSV'!$A:$FF, Capture2_Length, D46))+1, "")</f>
        <v/>
      </c>
      <c r="H46" s="61" t="str">
        <f>IF(ISNUMBER(E46), Capture3_Length-COUNTA(INDEX('Capture #3 CSV'!$A:$FF, 2, E46):INDEX('Capture #3 CSV'!$A:$FF, Capture3_Length, E46))+1, "")</f>
        <v/>
      </c>
      <c r="I46" s="63" t="str">
        <f>IFERROR(INDEX('Capture #1 CSV'!$A:$FF, F46, C46), "")</f>
        <v/>
      </c>
      <c r="J46" s="63" t="str">
        <f>IFERROR(INDEX('Capture #2 CSV'!$A:$FF, G46, D46), "")</f>
        <v/>
      </c>
      <c r="K46" s="63" t="str">
        <f>IFERROR(INDEX('Capture #3 CSV'!$A:$FF, H46, E46), "")</f>
        <v/>
      </c>
      <c r="L46" s="40" t="str">
        <f>IF(Capture1_Valid, IFERROR((Capture1_Length-1)-COUNTIF(INDEX('Capture #1 CSV'!$A:$FF, F46, C46):INDEX('Capture #1 CSV'!$A:$FF, Capture1_Length, C46), I46), ""), "")</f>
        <v/>
      </c>
      <c r="M46" s="40" t="str">
        <f>IF(Capture2_Valid, IFERROR((Capture2_Length-1)-COUNTIF(INDEX('Capture #2 CSV'!$A:$FF, G46, D46):INDEX('Capture #2 CSV'!$A:$FF, Capture2_Length, D46), J46), ""), "")</f>
        <v/>
      </c>
      <c r="N46" s="40" t="str">
        <f>IF(Capture3_Valid, IFERROR((Capture3_Length-1)-COUNTIF(INDEX('Capture #3 CSV'!$A:$FF, H46, E46):INDEX('Capture #3 CSV'!$A:$FF, Capture3_Length, E46), K46), ""), "")</f>
        <v/>
      </c>
    </row>
    <row r="47" spans="1:14" ht="15" customHeight="1" x14ac:dyDescent="0.25">
      <c r="A47" s="2" t="s">
        <v>211</v>
      </c>
      <c r="B47" s="64" t="s">
        <v>204</v>
      </c>
      <c r="C47" s="62" t="str">
        <f>IF(Capture1_Valid, IFERROR(MATCH($B47, 'Capture #1 CSV'!$1:$1, 0), ""), "")</f>
        <v/>
      </c>
      <c r="D47" s="62" t="str">
        <f>IF(Capture2_Valid, IFERROR(MATCH($B47, 'Capture #2 CSV'!$1:$1, 0), ""), "")</f>
        <v/>
      </c>
      <c r="E47" s="62" t="str">
        <f>IF(Capture3_Valid, IFERROR(MATCH($B47, 'Capture #3 CSV'!$1:$1, 0), ""), "")</f>
        <v/>
      </c>
      <c r="F47" s="61" t="str">
        <f>IF(ISNUMBER(C47), Capture1_Length-COUNTA(INDEX('Capture #1 CSV'!$A:$FF, 2, C47):INDEX('Capture #1 CSV'!$A:$FF, Capture1_Length, C47))+1, "")</f>
        <v/>
      </c>
      <c r="G47" s="61" t="str">
        <f>IF(ISNUMBER(D47), Capture2_Length-COUNTA(INDEX('Capture #2 CSV'!$A:$FF, 2, D47):INDEX('Capture #2 CSV'!$A:$FF, Capture2_Length, D47))+1, "")</f>
        <v/>
      </c>
      <c r="H47" s="61" t="str">
        <f>IF(ISNUMBER(E47), Capture3_Length-COUNTA(INDEX('Capture #3 CSV'!$A:$FF, 2, E47):INDEX('Capture #3 CSV'!$A:$FF, Capture3_Length, E47))+1, "")</f>
        <v/>
      </c>
      <c r="I47" s="63" t="str">
        <f>IFERROR(INDEX('Capture #1 CSV'!$A:$FF, F47, C47), "")</f>
        <v/>
      </c>
      <c r="J47" s="63" t="str">
        <f>IFERROR(INDEX('Capture #2 CSV'!$A:$FF, G47, D47), "")</f>
        <v/>
      </c>
      <c r="K47" s="63" t="str">
        <f>IFERROR(INDEX('Capture #3 CSV'!$A:$FF, H47, E47), "")</f>
        <v/>
      </c>
      <c r="L47" s="40" t="str">
        <f>IF(Capture1_Valid, IFERROR((Capture1_Length-1)-COUNTIF(INDEX('Capture #1 CSV'!$A:$FF, F47, C47):INDEX('Capture #1 CSV'!$A:$FF, Capture1_Length, C47), I47), ""), "")</f>
        <v/>
      </c>
      <c r="M47" s="40" t="str">
        <f>IF(Capture2_Valid, IFERROR((Capture2_Length-1)-COUNTIF(INDEX('Capture #2 CSV'!$A:$FF, G47, D47):INDEX('Capture #2 CSV'!$A:$FF, Capture2_Length, D47), J47), ""), "")</f>
        <v/>
      </c>
      <c r="N47" s="40" t="str">
        <f>IF(Capture3_Valid, IFERROR((Capture3_Length-1)-COUNTIF(INDEX('Capture #3 CSV'!$A:$FF, H47, E47):INDEX('Capture #3 CSV'!$A:$FF, Capture3_Length, E47), K47), ""), "")</f>
        <v/>
      </c>
    </row>
    <row r="48" spans="1:14" x14ac:dyDescent="0.25">
      <c r="A48" s="2" t="s">
        <v>212</v>
      </c>
      <c r="B48" s="64" t="s">
        <v>205</v>
      </c>
      <c r="C48" s="62" t="str">
        <f>IF(Capture1_Valid, IFERROR(MATCH($B48, 'Capture #1 CSV'!$1:$1, 0), ""), "")</f>
        <v/>
      </c>
      <c r="D48" s="62" t="str">
        <f>IF(Capture2_Valid, IFERROR(MATCH($B48, 'Capture #2 CSV'!$1:$1, 0), ""), "")</f>
        <v/>
      </c>
      <c r="E48" s="62" t="str">
        <f>IF(Capture3_Valid, IFERROR(MATCH($B48, 'Capture #3 CSV'!$1:$1, 0), ""), "")</f>
        <v/>
      </c>
      <c r="F48" s="61" t="str">
        <f>IF(ISNUMBER(C48), Capture1_Length-COUNTA(INDEX('Capture #1 CSV'!$A:$FF, 2, C48):INDEX('Capture #1 CSV'!$A:$FF, Capture1_Length, C48))+1, "")</f>
        <v/>
      </c>
      <c r="G48" s="61" t="str">
        <f>IF(ISNUMBER(D48), Capture2_Length-COUNTA(INDEX('Capture #2 CSV'!$A:$FF, 2, D48):INDEX('Capture #2 CSV'!$A:$FF, Capture2_Length, D48))+1, "")</f>
        <v/>
      </c>
      <c r="H48" s="61" t="str">
        <f>IF(ISNUMBER(E48), Capture3_Length-COUNTA(INDEX('Capture #3 CSV'!$A:$FF, 2, E48):INDEX('Capture #3 CSV'!$A:$FF, Capture3_Length, E48))+1, "")</f>
        <v/>
      </c>
      <c r="I48" s="63"/>
      <c r="J48" s="63"/>
      <c r="K48" s="63"/>
      <c r="L48" s="40" t="str">
        <f>IF(Capture1_Valid, IFERROR(COUNTIF(INDEX('Capture #1 CSV'!$A:$FF, F48, C48):INDEX('Capture #1 CSV'!$A:$FF, Capture1_Length, C48), "&gt;"&amp;0), ""), "")</f>
        <v/>
      </c>
      <c r="M48" s="40" t="str">
        <f>IF(Capture2_Valid, IFERROR(COUNTIF(INDEX('Capture #2 CSV'!$A:$FF, G48, D48):INDEX('Capture #2 CSV'!$A:$FF, Capture2_Length, D48), "&gt;"&amp;0), ""), "")</f>
        <v/>
      </c>
      <c r="N48" s="40" t="str">
        <f>IF(Capture3_Valid, IFERROR(COUNTIF(INDEX('Capture #3 CSV'!$A:$FF, H48, E48):INDEX('Capture #3 CSV'!$A:$FF, Capture3_Length, E48), "&gt;"&amp;0), ""), "")</f>
        <v/>
      </c>
    </row>
    <row r="49" spans="1:14" x14ac:dyDescent="0.25">
      <c r="A49" s="2" t="s">
        <v>206</v>
      </c>
      <c r="B49" s="64" t="s">
        <v>206</v>
      </c>
      <c r="C49" s="62" t="str">
        <f>IF(Capture1_Valid, IFERROR(MATCH($B49, 'Capture #1 CSV'!$1:$1, 0), ""), "")</f>
        <v/>
      </c>
      <c r="D49" s="62" t="str">
        <f>IF(Capture2_Valid, IFERROR(MATCH($B49, 'Capture #2 CSV'!$1:$1, 0), ""), "")</f>
        <v/>
      </c>
      <c r="E49" s="62" t="str">
        <f>IF(Capture3_Valid, IFERROR(MATCH($B49, 'Capture #3 CSV'!$1:$1, 0), ""), "")</f>
        <v/>
      </c>
      <c r="F49" s="61" t="str">
        <f>IF(ISNUMBER(C49), Capture1_Length-COUNTA(INDEX('Capture #1 CSV'!$A:$FF, 2, C49):INDEX('Capture #1 CSV'!$A:$FF, Capture1_Length, C49))+1, "")</f>
        <v/>
      </c>
      <c r="G49" s="61" t="str">
        <f>IF(ISNUMBER(D49), Capture2_Length-COUNTA(INDEX('Capture #2 CSV'!$A:$FF, 2, D49):INDEX('Capture #2 CSV'!$A:$FF, Capture2_Length, D49))+1, "")</f>
        <v/>
      </c>
      <c r="H49" s="61" t="str">
        <f>IF(ISNUMBER(E49), Capture3_Length-COUNTA(INDEX('Capture #3 CSV'!$A:$FF, 2, E49):INDEX('Capture #3 CSV'!$A:$FF, Capture3_Length, E49))+1, "")</f>
        <v/>
      </c>
      <c r="I49" s="63" t="str">
        <f>IFERROR(INDEX('Capture #1 CSV'!$A:$FF, F49, C49), "")</f>
        <v/>
      </c>
      <c r="J49" s="63" t="str">
        <f>IFERROR(INDEX('Capture #2 CSV'!$A:$FF, G49, D49), "")</f>
        <v/>
      </c>
      <c r="K49" s="63" t="str">
        <f>IFERROR(INDEX('Capture #3 CSV'!$A:$FF, H49, E49), "")</f>
        <v/>
      </c>
      <c r="L49" s="40" t="str">
        <f>IF(Capture1_Valid, IFERROR((Capture1_Length-1)-COUNTIF(INDEX('Capture #1 CSV'!$A:$FF, F49, C49):INDEX('Capture #1 CSV'!$A:$FF, Capture1_Length, C49), I49), ""), "")</f>
        <v/>
      </c>
      <c r="M49" s="40" t="str">
        <f>IF(Capture2_Valid, IFERROR((Capture2_Length-1)-COUNTIF(INDEX('Capture #2 CSV'!$A:$FF, G49, D49):INDEX('Capture #2 CSV'!$A:$FF, Capture2_Length, D49), J49), ""), "")</f>
        <v/>
      </c>
      <c r="N49" s="40" t="str">
        <f>IF(Capture3_Valid, IFERROR((Capture3_Length-1)-COUNTIF(INDEX('Capture #3 CSV'!$A:$FF, H49, E49):INDEX('Capture #3 CSV'!$A:$FF, Capture3_Length, E49), K49), ""), "")</f>
        <v/>
      </c>
    </row>
    <row r="50" spans="1:14" x14ac:dyDescent="0.25">
      <c r="A50" s="2" t="s">
        <v>230</v>
      </c>
      <c r="B50" s="124" t="s">
        <v>207</v>
      </c>
      <c r="C50" s="117" t="str">
        <f>IF(Capture1_Valid, IFERROR(MATCH($B50, 'Capture #1 CSV'!$1:$1, 0), ""), "")</f>
        <v/>
      </c>
      <c r="D50" s="117" t="str">
        <f>IF(Capture2_Valid, IFERROR(MATCH($B50, 'Capture #2 CSV'!$1:$1, 0), ""), "")</f>
        <v/>
      </c>
      <c r="E50" s="117" t="str">
        <f>IF(Capture3_Valid, IFERROR(MATCH($B50, 'Capture #3 CSV'!$1:$1, 0), ""), "")</f>
        <v/>
      </c>
      <c r="F50" s="116" t="str">
        <f>IF(ISNUMBER(C50), Capture1_Length-COUNTA(INDEX('Capture #1 CSV'!$A:$FF, 2, C50):INDEX('Capture #1 CSV'!$A:$FF, Capture1_Length, C50))+1, "")</f>
        <v/>
      </c>
      <c r="G50" s="116" t="str">
        <f>IF(ISNUMBER(D50), Capture2_Length-COUNTA(INDEX('Capture #2 CSV'!$A:$FF, 2, D50):INDEX('Capture #2 CSV'!$A:$FF, Capture2_Length, D50))+1, "")</f>
        <v/>
      </c>
      <c r="H50" s="116" t="str">
        <f>IF(ISNUMBER(E50), Capture3_Length-COUNTA(INDEX('Capture #3 CSV'!$A:$FF, 2, E50):INDEX('Capture #3 CSV'!$A:$FF, Capture3_Length, E50))+1, "")</f>
        <v/>
      </c>
      <c r="I50" s="118" t="str">
        <f>IFERROR(INDEX('Capture #1 CSV'!$A:$FF, F50, C50), "")</f>
        <v/>
      </c>
      <c r="J50" s="118" t="str">
        <f>IFERROR(INDEX('Capture #2 CSV'!$A:$FF, G50, D50), "")</f>
        <v/>
      </c>
      <c r="K50" s="118" t="str">
        <f>IFERROR(INDEX('Capture #3 CSV'!$A:$FF, H50, E50), "")</f>
        <v/>
      </c>
      <c r="L50" s="40" t="str">
        <f t="array" ref="L50">IFERROR(IF(AND(ISNUMBER(C50), Capture1_Valid), (Capture1_Length-1)-SUM(IFERROR(SEARCH("Hardware", INDEX('Capture #1 CSV'!$A:$FF, Backend!F50, Backend!C50):INDEX('Capture #1 CSV'!$A:$FF, Capture1_Length, Backend!C50)), 0)), ""), "")</f>
        <v/>
      </c>
      <c r="M50" s="40" t="str">
        <f t="array" ref="M50">IFERROR(IF(AND(ISNUMBER(D50), Capture2_Valid), (Capture2_Length-1)-SUM(IFERROR(SEARCH("Hardware", INDEX('Capture #2 CSV'!$A:$FF, Backend!G50, Backend!D50):INDEX('Capture #2 CSV'!$A:$FF, Capture2_Length, Backend!D50)), 0)), ""), "")</f>
        <v/>
      </c>
      <c r="N50" s="40" t="str">
        <f t="array" ref="N50">IFERROR(IF(AND(ISNUMBER(E50), Capture3_Valid), (Capture3_Length-1)-SUM(IFERROR(SEARCH("Hardware", INDEX('Capture #3 CSV'!$A:$FF, Backend!H50, Backend!E50):INDEX('Capture #3 CSV'!$A:$FF, Capture3_Length, Backend!E50)), 0)), ""), "")</f>
        <v/>
      </c>
    </row>
    <row r="51" spans="1:14" x14ac:dyDescent="0.25">
      <c r="A51" s="2" t="s">
        <v>229</v>
      </c>
      <c r="B51" s="124"/>
      <c r="C51" s="117"/>
      <c r="D51" s="117"/>
      <c r="E51" s="117"/>
      <c r="F51" s="116"/>
      <c r="G51" s="116"/>
      <c r="H51" s="116"/>
      <c r="I51" s="118"/>
      <c r="J51" s="118"/>
      <c r="K51" s="118"/>
      <c r="L51" s="40" t="str">
        <f>IF(Capture1_Valid, IFERROR(COUNTIF(INDEX('Capture #1 CSV'!$A:$FF, F50, C50):INDEX('Capture #1 CSV'!$A:$FF, Capture1_Length, C50), "&lt;&gt;"&amp;I50), ""), "")</f>
        <v/>
      </c>
      <c r="M51" s="40" t="str">
        <f>IF(Capture2_Valid, IFERROR(COUNTIF(INDEX('Capture #2 CSV'!$A:$FF, G50, D50):INDEX('Capture #2 CSV'!$A:$FF, Capture2_Length, D50), "&lt;&gt;"&amp;J50), ""), "")</f>
        <v/>
      </c>
      <c r="N51" s="40" t="str">
        <f>IF(Capture3_Valid, IFERROR(COUNTIF(INDEX('Capture #3 CSV'!$A:$FF, H50, E50):INDEX('Capture #3 CSV'!$A:$FF, Capture3_Length, E50), "&lt;&gt;"&amp;K50), ""), "")</f>
        <v/>
      </c>
    </row>
    <row r="52" spans="1:14" x14ac:dyDescent="0.25">
      <c r="A52" s="2" t="s">
        <v>213</v>
      </c>
      <c r="B52" s="64" t="s">
        <v>208</v>
      </c>
      <c r="C52" s="62" t="str">
        <f>IF(Capture1_Valid, IFERROR(MATCH($B52, 'Capture #1 CSV'!$1:$1, 0), ""), "")</f>
        <v/>
      </c>
      <c r="D52" s="62" t="str">
        <f>IF(Capture2_Valid, IFERROR(MATCH($B52, 'Capture #2 CSV'!$1:$1, 0), ""), "")</f>
        <v/>
      </c>
      <c r="E52" s="62" t="str">
        <f>IF(Capture3_Valid, IFERROR(MATCH($B52, 'Capture #3 CSV'!$1:$1, 0), ""), "")</f>
        <v/>
      </c>
      <c r="F52" s="61" t="str">
        <f>IF(ISNUMBER(C52), Capture1_Length-COUNTA(INDEX('Capture #1 CSV'!$A:$FF, 2, C52):INDEX('Capture #1 CSV'!$A:$FF, Capture1_Length, C52))+1, "")</f>
        <v/>
      </c>
      <c r="G52" s="61" t="str">
        <f>IF(ISNUMBER(D52), Capture2_Length-COUNTA(INDEX('Capture #2 CSV'!$A:$FF, 2, D52):INDEX('Capture #2 CSV'!$A:$FF, Capture2_Length, D52))+1, "")</f>
        <v/>
      </c>
      <c r="H52" s="61" t="str">
        <f>IF(ISNUMBER(E52), Capture3_Length-COUNTA(INDEX('Capture #3 CSV'!$A:$FF, 2, E52):INDEX('Capture #3 CSV'!$A:$FF, Capture3_Length, E52))+1, "")</f>
        <v/>
      </c>
      <c r="I52" s="66"/>
      <c r="J52" s="66"/>
      <c r="K52" s="66"/>
      <c r="L52" s="40" t="str">
        <f>IF(Capture1_Valid, IFERROR((Capture1_Length-1)-COUNTIF(INDEX('Capture #1 CSV'!$A:$FF, F52, C52):INDEX('Capture #1 CSV'!$A:$FF, Capture1_Length, C52), 0), ""), "")</f>
        <v/>
      </c>
      <c r="M52" s="40" t="str">
        <f>IF(Capture2_Valid, IFERROR((Capture2_Length-1)-COUNTIF(INDEX('Capture #2 CSV'!$A:$FF, G52, D52):INDEX('Capture #2 CSV'!$A:$FF, Capture2_Length, D52), 0), ""), "")</f>
        <v/>
      </c>
      <c r="N52" s="40" t="str">
        <f>IF(Capture3_Valid, IFERROR((Capture3_Length-1)-COUNTIF(INDEX('Capture #3 CSV'!$A:$FF, H52, E52):INDEX('Capture #3 CSV'!$A:$FF, Capture3_Length, E52), 0), ""), "")</f>
        <v/>
      </c>
    </row>
    <row r="53" spans="1:14" x14ac:dyDescent="0.25">
      <c r="A53" s="2" t="s">
        <v>0</v>
      </c>
      <c r="B53" s="64" t="s">
        <v>82</v>
      </c>
      <c r="C53" s="62" t="str">
        <f>IF(Capture1_Valid, IFERROR(MATCH($B53, 'Capture #1 CSV'!$1:$1, 0), ""), "")</f>
        <v/>
      </c>
      <c r="D53" s="62" t="str">
        <f>IF(Capture2_Valid, IFERROR(MATCH($B53, 'Capture #2 CSV'!$1:$1, 0), ""), "")</f>
        <v/>
      </c>
      <c r="E53" s="62" t="str">
        <f>IF(Capture3_Valid, IFERROR(MATCH($B53, 'Capture #3 CSV'!$1:$1, 0), ""), "")</f>
        <v/>
      </c>
      <c r="F53" s="61" t="str">
        <f>IF(ISNUMBER(C53), Capture1_Length-COUNTA(INDEX('Capture #1 CSV'!$A:$FF, 2, C53):INDEX('Capture #1 CSV'!$A:$FF, Capture1_Length, C53))+1, "")</f>
        <v/>
      </c>
      <c r="G53" s="61" t="str">
        <f>IF(ISNUMBER(D53), Capture2_Length-COUNTA(INDEX('Capture #2 CSV'!$A:$FF, 2, D53):INDEX('Capture #2 CSV'!$A:$FF, Capture2_Length, D53))+1, "")</f>
        <v/>
      </c>
      <c r="H53" s="61" t="str">
        <f>IF(ISNUMBER(E53), Capture3_Length-COUNTA(INDEX('Capture #3 CSV'!$A:$FF, 2, E53):INDEX('Capture #3 CSV'!$A:$FF, Capture3_Length, E53))+1, "")</f>
        <v/>
      </c>
      <c r="I53" s="66"/>
      <c r="J53" s="66"/>
      <c r="K53" s="66"/>
    </row>
    <row r="54" spans="1:14" x14ac:dyDescent="0.25">
      <c r="A54" s="2" t="s">
        <v>16</v>
      </c>
      <c r="B54" s="64" t="s">
        <v>83</v>
      </c>
      <c r="C54" s="62" t="str">
        <f>IF(Capture1_Valid, IFERROR(MATCH($B54, 'Capture #1 CSV'!$1:$1, 0), ""), "")</f>
        <v/>
      </c>
      <c r="D54" s="62" t="str">
        <f>IF(Capture2_Valid, IFERROR(MATCH($B54, 'Capture #2 CSV'!$1:$1, 0), ""), "")</f>
        <v/>
      </c>
      <c r="E54" s="62" t="str">
        <f>IF(Capture3_Valid, IFERROR(MATCH($B54, 'Capture #3 CSV'!$1:$1, 0), ""), "")</f>
        <v/>
      </c>
      <c r="F54" s="61" t="str">
        <f>IF(ISNUMBER(C54), Capture1_Length-COUNTA(INDEX('Capture #1 CSV'!$A:$FF, 2, C54):INDEX('Capture #1 CSV'!$A:$FF, Capture1_Length, C54))+1, "")</f>
        <v/>
      </c>
      <c r="G54" s="61" t="str">
        <f>IF(ISNUMBER(D54), Capture2_Length-COUNTA(INDEX('Capture #2 CSV'!$A:$FF, 2, D54):INDEX('Capture #2 CSV'!$A:$FF, Capture2_Length, D54))+1, "")</f>
        <v/>
      </c>
      <c r="H54" s="61" t="str">
        <f>IF(ISNUMBER(E54), Capture3_Length-COUNTA(INDEX('Capture #3 CSV'!$A:$FF, 2, E54):INDEX('Capture #3 CSV'!$A:$FF, Capture3_Length, E54))+1, "")</f>
        <v/>
      </c>
      <c r="I54" s="66"/>
      <c r="J54" s="66"/>
      <c r="K54" s="66"/>
    </row>
    <row r="55" spans="1:14" x14ac:dyDescent="0.25">
      <c r="A55" s="2" t="s">
        <v>1</v>
      </c>
      <c r="B55" s="64" t="s">
        <v>84</v>
      </c>
      <c r="C55" s="62" t="str">
        <f>IF(Capture1_Valid, IFERROR(MATCH($B55, 'Capture #1 CSV'!$1:$1, 0), ""), "")</f>
        <v/>
      </c>
      <c r="D55" s="62" t="str">
        <f>IF(Capture2_Valid, IFERROR(MATCH($B55, 'Capture #2 CSV'!$1:$1, 0), ""), "")</f>
        <v/>
      </c>
      <c r="E55" s="62" t="str">
        <f>IF(Capture3_Valid, IFERROR(MATCH($B55, 'Capture #3 CSV'!$1:$1, 0), ""), "")</f>
        <v/>
      </c>
      <c r="F55" s="61" t="str">
        <f>IF(ISNUMBER(C55), Capture1_Length-COUNTA(INDEX('Capture #1 CSV'!$A:$FF, 2, C55):INDEX('Capture #1 CSV'!$A:$FF, Capture1_Length, C55))+1, "")</f>
        <v/>
      </c>
      <c r="G55" s="61" t="str">
        <f>IF(ISNUMBER(D55), Capture2_Length-COUNTA(INDEX('Capture #2 CSV'!$A:$FF, 2, D55):INDEX('Capture #2 CSV'!$A:$FF, Capture2_Length, D55))+1, "")</f>
        <v/>
      </c>
      <c r="H55" s="61" t="str">
        <f>IF(ISNUMBER(E55), Capture3_Length-COUNTA(INDEX('Capture #3 CSV'!$A:$FF, 2, E55):INDEX('Capture #3 CSV'!$A:$FF, Capture3_Length, E55))+1, "")</f>
        <v/>
      </c>
      <c r="I55" s="66"/>
      <c r="J55" s="66"/>
      <c r="K55" s="66"/>
      <c r="L55" s="40" t="str">
        <f>IF(Capture1_Valid, IFERROR(COUNTIF(INDEX('Capture #1 CSV'!$A:$FF, F55, C55):INDEX('Capture #1 CSV'!$A:$FF, Capture1_Length, C55), 0), ""), "")</f>
        <v/>
      </c>
      <c r="M55" s="40" t="str">
        <f>IF(Capture2_Valid, IFERROR(COUNTIF(INDEX('Capture #2 CSV'!$A:$FF, G55, D55):INDEX('Capture #2 CSV'!$A:$FF, Capture2_Length, D55), 0), ""), "")</f>
        <v/>
      </c>
      <c r="N55" s="40" t="str">
        <f>IF(Capture3_Valid, IFERROR(COUNTIF(INDEX('Capture #3 CSV'!$A:$FF, H55, E55):INDEX('Capture #3 CSV'!$A:$FF, Capture3_Length, E55), 0), ""), "")</f>
        <v/>
      </c>
    </row>
    <row r="56" spans="1:14" x14ac:dyDescent="0.25">
      <c r="A56" s="19" t="s">
        <v>261</v>
      </c>
      <c r="B56" s="64" t="s">
        <v>258</v>
      </c>
      <c r="C56" s="62" t="str">
        <f>IF(Capture1_Valid, IFERROR(MATCH($B56, 'Capture #1 CSV'!$1:$1, 0), ""), "")</f>
        <v/>
      </c>
      <c r="D56" s="62" t="str">
        <f>IF(Capture2_Valid, IFERROR(MATCH($B56, 'Capture #2 CSV'!$1:$1, 0), ""), "")</f>
        <v/>
      </c>
      <c r="E56" s="62" t="str">
        <f>IF(Capture3_Valid, IFERROR(MATCH($B56, 'Capture #3 CSV'!$1:$1, 0), ""), "")</f>
        <v/>
      </c>
      <c r="F56" s="61" t="str">
        <f>IF(ISNUMBER(C56), Capture1_Length-COUNTA(INDEX('Capture #1 CSV'!$A:$FF, 2, C56):INDEX('Capture #1 CSV'!$A:$FF, Capture1_Length, C56))+1, "")</f>
        <v/>
      </c>
      <c r="G56" s="61" t="str">
        <f>IF(ISNUMBER(D56), Capture2_Length-COUNTA(INDEX('Capture #2 CSV'!$A:$FF, 2, D56):INDEX('Capture #2 CSV'!$A:$FF, Capture2_Length, D56))+1, "")</f>
        <v/>
      </c>
      <c r="H56" s="61" t="str">
        <f>IF(ISNUMBER(E56), Capture3_Length-COUNTA(INDEX('Capture #3 CSV'!$A:$FF, 2, E56):INDEX('Capture #3 CSV'!$A:$FF, Capture3_Length, E56))+1, "")</f>
        <v/>
      </c>
      <c r="I56" s="66"/>
      <c r="J56" s="66"/>
      <c r="K56" s="66"/>
    </row>
    <row r="57" spans="1:14" x14ac:dyDescent="0.25">
      <c r="A57" s="19" t="s">
        <v>179</v>
      </c>
      <c r="B57" s="64" t="s">
        <v>179</v>
      </c>
      <c r="C57" s="62" t="str">
        <f>IF(Capture1_Valid, IFERROR(MATCH($B57, 'Capture #1 CSV'!$1:$1, 0), ""), "")</f>
        <v/>
      </c>
      <c r="D57" s="62" t="str">
        <f>IF(Capture2_Valid, IFERROR(MATCH($B57, 'Capture #2 CSV'!$1:$1, 0), ""), "")</f>
        <v/>
      </c>
      <c r="E57" s="62" t="str">
        <f>IF(Capture3_Valid, IFERROR(MATCH($B57, 'Capture #3 CSV'!$1:$1, 0), ""), "")</f>
        <v/>
      </c>
      <c r="F57" s="61" t="str">
        <f>IF(ISNUMBER(C57), Capture1_Length-COUNTA(INDEX('Capture #1 CSV'!$A:$FF, 2, C57):INDEX('Capture #1 CSV'!$A:$FF, Capture1_Length, C57))+1, "")</f>
        <v/>
      </c>
      <c r="G57" s="61" t="str">
        <f>IF(ISNUMBER(D57), Capture2_Length-COUNTA(INDEX('Capture #2 CSV'!$A:$FF, 2, D57):INDEX('Capture #2 CSV'!$A:$FF, Capture2_Length, D57))+1, "")</f>
        <v/>
      </c>
      <c r="H57" s="61" t="str">
        <f>IF(ISNUMBER(E57), Capture3_Length-COUNTA(INDEX('Capture #3 CSV'!$A:$FF, 2, E57):INDEX('Capture #3 CSV'!$A:$FF, Capture3_Length, E57))+1, "")</f>
        <v/>
      </c>
      <c r="I57" s="66"/>
      <c r="J57" s="66"/>
      <c r="K57" s="66"/>
      <c r="L57" s="36"/>
    </row>
    <row r="58" spans="1:14" x14ac:dyDescent="0.25">
      <c r="A58" s="19" t="s">
        <v>157</v>
      </c>
      <c r="B58" s="64" t="s">
        <v>152</v>
      </c>
      <c r="C58" s="62" t="str">
        <f>IF(Capture1_Valid, IFERROR(MATCH($B58, 'Capture #1 CSV'!$1:$1, 0), ""), "")</f>
        <v/>
      </c>
      <c r="D58" s="62" t="str">
        <f>IF(Capture2_Valid, IFERROR(MATCH($B58, 'Capture #2 CSV'!$1:$1, 0), ""), "")</f>
        <v/>
      </c>
      <c r="E58" s="62" t="str">
        <f>IF(Capture3_Valid, IFERROR(MATCH($B58, 'Capture #3 CSV'!$1:$1, 0), ""), "")</f>
        <v/>
      </c>
      <c r="F58" s="61" t="str">
        <f>IF(ISNUMBER(C58), Capture1_Length-COUNTA(INDEX('Capture #1 CSV'!$A:$FF, 2, C58):INDEX('Capture #1 CSV'!$A:$FF, Capture1_Length, C58))+1, "")</f>
        <v/>
      </c>
      <c r="G58" s="61" t="str">
        <f>IF(ISNUMBER(D58), Capture2_Length-COUNTA(INDEX('Capture #2 CSV'!$A:$FF, 2, D58):INDEX('Capture #2 CSV'!$A:$FF, Capture2_Length, D58))+1, "")</f>
        <v/>
      </c>
      <c r="H58" s="61" t="str">
        <f>IF(ISNUMBER(E58), Capture3_Length-COUNTA(INDEX('Capture #3 CSV'!$A:$FF, 2, E58):INDEX('Capture #3 CSV'!$A:$FF, Capture3_Length, E58))+1, "")</f>
        <v/>
      </c>
      <c r="I58" s="66"/>
      <c r="J58" s="66"/>
      <c r="K58" s="66"/>
      <c r="L58" s="36"/>
    </row>
    <row r="59" spans="1:14" x14ac:dyDescent="0.25">
      <c r="A59" s="19" t="s">
        <v>158</v>
      </c>
      <c r="B59" s="64" t="s">
        <v>153</v>
      </c>
      <c r="C59" s="62" t="str">
        <f>IF(Capture1_Valid, IFERROR(MATCH($B59, 'Capture #1 CSV'!$1:$1, 0), ""), "")</f>
        <v/>
      </c>
      <c r="D59" s="62" t="str">
        <f>IF(Capture2_Valid, IFERROR(MATCH($B59, 'Capture #2 CSV'!$1:$1, 0), ""), "")</f>
        <v/>
      </c>
      <c r="E59" s="62" t="str">
        <f>IF(Capture3_Valid, IFERROR(MATCH($B59, 'Capture #3 CSV'!$1:$1, 0), ""), "")</f>
        <v/>
      </c>
      <c r="F59" s="61" t="str">
        <f>IF(ISNUMBER(C59), Capture1_Length-COUNTA(INDEX('Capture #1 CSV'!$A:$FF, 2, C59):INDEX('Capture #1 CSV'!$A:$FF, Capture1_Length, C59))+1, "")</f>
        <v/>
      </c>
      <c r="G59" s="61" t="str">
        <f>IF(ISNUMBER(D59), Capture2_Length-COUNTA(INDEX('Capture #2 CSV'!$A:$FF, 2, D59):INDEX('Capture #2 CSV'!$A:$FF, Capture2_Length, D59))+1, "")</f>
        <v/>
      </c>
      <c r="H59" s="61" t="str">
        <f>IF(ISNUMBER(E59), Capture3_Length-COUNTA(INDEX('Capture #3 CSV'!$A:$FF, 2, E59):INDEX('Capture #3 CSV'!$A:$FF, Capture3_Length, E59))+1, "")</f>
        <v/>
      </c>
      <c r="I59" s="66"/>
      <c r="J59" s="66"/>
      <c r="K59" s="66"/>
      <c r="L59" s="36"/>
    </row>
    <row r="60" spans="1:14" x14ac:dyDescent="0.25">
      <c r="A60" s="19" t="s">
        <v>159</v>
      </c>
      <c r="B60" s="64" t="s">
        <v>154</v>
      </c>
      <c r="C60" s="62" t="str">
        <f>IF(Capture1_Valid, IFERROR(MATCH($B60, 'Capture #1 CSV'!$1:$1, 0), ""), "")</f>
        <v/>
      </c>
      <c r="D60" s="62" t="str">
        <f>IF(Capture2_Valid, IFERROR(MATCH($B60, 'Capture #2 CSV'!$1:$1, 0), ""), "")</f>
        <v/>
      </c>
      <c r="E60" s="62" t="str">
        <f>IF(Capture3_Valid, IFERROR(MATCH($B60, 'Capture #3 CSV'!$1:$1, 0), ""), "")</f>
        <v/>
      </c>
      <c r="F60" s="61" t="str">
        <f>IF(ISNUMBER(C60), Capture1_Length-COUNTA(INDEX('Capture #1 CSV'!$A:$FF, 2, C60):INDEX('Capture #1 CSV'!$A:$FF, Capture1_Length, C60))+1, "")</f>
        <v/>
      </c>
      <c r="G60" s="61" t="str">
        <f>IF(ISNUMBER(D60), Capture2_Length-COUNTA(INDEX('Capture #2 CSV'!$A:$FF, 2, D60):INDEX('Capture #2 CSV'!$A:$FF, Capture2_Length, D60))+1, "")</f>
        <v/>
      </c>
      <c r="H60" s="61" t="str">
        <f>IF(ISNUMBER(E60), Capture3_Length-COUNTA(INDEX('Capture #3 CSV'!$A:$FF, 2, E60):INDEX('Capture #3 CSV'!$A:$FF, Capture3_Length, E60))+1, "")</f>
        <v/>
      </c>
      <c r="I60" s="66"/>
      <c r="J60" s="66"/>
      <c r="K60" s="66"/>
      <c r="L60" s="36"/>
    </row>
    <row r="61" spans="1:14" x14ac:dyDescent="0.25">
      <c r="A61" s="19" t="s">
        <v>256</v>
      </c>
      <c r="B61" s="64" t="s">
        <v>259</v>
      </c>
      <c r="C61" s="62" t="str">
        <f>IF(Capture1_Valid, IFERROR(MATCH($B61, 'Capture #1 CSV'!$1:$1, 0), ""), "")</f>
        <v/>
      </c>
      <c r="D61" s="62" t="str">
        <f>IF(Capture2_Valid, IFERROR(MATCH($B61, 'Capture #2 CSV'!$1:$1, 0), ""), "")</f>
        <v/>
      </c>
      <c r="E61" s="62" t="str">
        <f>IF(Capture3_Valid, IFERROR(MATCH($B61, 'Capture #3 CSV'!$1:$1, 0), ""), "")</f>
        <v/>
      </c>
      <c r="F61" s="61" t="str">
        <f>IF(ISNUMBER(C61), Capture1_Length-COUNTA(INDEX('Capture #1 CSV'!$A:$FF, 2, C61):INDEX('Capture #1 CSV'!$A:$FF, Capture1_Length, C61))+1, "")</f>
        <v/>
      </c>
      <c r="G61" s="61" t="str">
        <f>IF(ISNUMBER(D61), Capture2_Length-COUNTA(INDEX('Capture #2 CSV'!$A:$FF, 2, D61):INDEX('Capture #2 CSV'!$A:$FF, Capture2_Length, D61))+1, "")</f>
        <v/>
      </c>
      <c r="H61" s="61" t="str">
        <f>IF(ISNUMBER(E61), Capture3_Length-COUNTA(INDEX('Capture #3 CSV'!$A:$FF, 2, E61):INDEX('Capture #3 CSV'!$A:$FF, Capture3_Length, E61))+1, "")</f>
        <v/>
      </c>
      <c r="I61" s="66"/>
      <c r="J61" s="66"/>
      <c r="K61" s="66"/>
    </row>
    <row r="62" spans="1:14" x14ac:dyDescent="0.25">
      <c r="A62" s="19" t="s">
        <v>257</v>
      </c>
      <c r="B62" s="64" t="s">
        <v>260</v>
      </c>
      <c r="C62" s="62" t="str">
        <f>IF(Capture1_Valid, IFERROR(MATCH($B62, 'Capture #1 CSV'!$1:$1, 0), ""), "")</f>
        <v/>
      </c>
      <c r="D62" s="62" t="str">
        <f>IF(Capture2_Valid, IFERROR(MATCH($B62, 'Capture #2 CSV'!$1:$1, 0), ""), "")</f>
        <v/>
      </c>
      <c r="E62" s="62" t="str">
        <f>IF(Capture3_Valid, IFERROR(MATCH($B62, 'Capture #3 CSV'!$1:$1, 0), ""), "")</f>
        <v/>
      </c>
      <c r="F62" s="61" t="str">
        <f>IF(ISNUMBER(C62), Capture1_Length-COUNTA(INDEX('Capture #1 CSV'!$A:$FF, 2, C62):INDEX('Capture #1 CSV'!$A:$FF, Capture1_Length, C62))+1, "")</f>
        <v/>
      </c>
      <c r="G62" s="61" t="str">
        <f>IF(ISNUMBER(D62), Capture2_Length-COUNTA(INDEX('Capture #2 CSV'!$A:$FF, 2, D62):INDEX('Capture #2 CSV'!$A:$FF, Capture2_Length, D62))+1, "")</f>
        <v/>
      </c>
      <c r="H62" s="61" t="str">
        <f>IF(ISNUMBER(E62), Capture3_Length-COUNTA(INDEX('Capture #3 CSV'!$A:$FF, 2, E62):INDEX('Capture #3 CSV'!$A:$FF, Capture3_Length, E62))+1, "")</f>
        <v/>
      </c>
      <c r="I62" s="66"/>
      <c r="J62" s="66"/>
      <c r="K62" s="66"/>
    </row>
    <row r="63" spans="1:14" x14ac:dyDescent="0.25">
      <c r="A63" s="2" t="s">
        <v>4</v>
      </c>
      <c r="B63" s="64" t="s">
        <v>248</v>
      </c>
      <c r="C63" s="6" t="str">
        <f>IF(AND(Capture1_NVGPU, Capture1_Valid), IFERROR(MATCH($B63, 'Capture #1 CSV'!$1:$1, 0), ""), "")</f>
        <v/>
      </c>
      <c r="D63" s="6" t="str">
        <f>IF(AND(Capture2_NVGPU, Capture2_Valid), IFERROR(MATCH($B63, 'Capture #2 CSV'!$1:$1, 0), ""), "")</f>
        <v/>
      </c>
      <c r="E63" s="6" t="str">
        <f>IF(AND(Capture3_NVGPU, Capture3_Valid), IFERROR(MATCH($B63, 'Capture #3 CSV'!$1:$1, 0), ""), "")</f>
        <v/>
      </c>
      <c r="F63" s="116" t="str">
        <f>IF(AND(Capture1_Valid, OR(ISNUMBER(C63), ISNUMBER(C64))), Capture1_Length-COUNTA(INDEX('Capture #1 CSV'!$A:$FF, 2, MAX(C63:C64)):INDEX('Capture #1 CSV'!$A:$FF, Capture1_Length, MAX(C63:C64)))+1, "")</f>
        <v/>
      </c>
      <c r="G63" s="128" t="str">
        <f>IF(AND(Capture2_Valid, OR(ISNUMBER(D63), ISNUMBER(D64))), Capture2_Length-COUNTA(INDEX('Capture #2 CSV'!$A:$FF, 2, MAX(D63:D64)):INDEX('Capture #2 CSV'!$A:$FF, Capture2_Length, MAX(D63:D64)))+1, "")</f>
        <v/>
      </c>
      <c r="H63" s="116" t="str">
        <f>IF(AND(Capture3_Valid, OR(ISNUMBER(E63), ISNUMBER(E64))), Capture3_Length-COUNTA(INDEX('Capture #3 CSV'!$A:$FF, 2, MAX(E63:E64)):INDEX('Capture #3 CSV'!$A:$FF, Capture3_Length, MAX(E63:E64)))+1, "")</f>
        <v/>
      </c>
      <c r="I63" s="66"/>
      <c r="J63" s="66"/>
      <c r="K63" s="66"/>
    </row>
    <row r="64" spans="1:14" x14ac:dyDescent="0.25">
      <c r="A64" s="2" t="s">
        <v>5</v>
      </c>
      <c r="B64" s="64" t="s">
        <v>249</v>
      </c>
      <c r="C64" s="7" t="str">
        <f>IF(AND(NOT(Capture1_NVGPU), Capture1_Valid), IFERROR(MATCH($B64, 'Capture #1 CSV'!$1:$1, 0), ""), "")</f>
        <v/>
      </c>
      <c r="D64" s="7" t="str">
        <f>IF(AND(NOT(Capture2_NVGPU), Capture2_Valid), IFERROR(MATCH($B64, 'Capture #2 CSV'!$1:$1, 0), ""), "")</f>
        <v/>
      </c>
      <c r="E64" s="7" t="str">
        <f>IF(AND(NOT(Capture3_NVGPU), Capture3_Valid), IFERROR(MATCH($B64, 'Capture #3 CSV'!$1:$1, 0), ""), "")</f>
        <v/>
      </c>
      <c r="F64" s="116"/>
      <c r="G64" s="129"/>
      <c r="H64" s="116"/>
      <c r="I64" s="66"/>
      <c r="J64" s="66"/>
      <c r="K64" s="66"/>
    </row>
    <row r="65" spans="1:11" x14ac:dyDescent="0.25">
      <c r="A65" s="2" t="s">
        <v>8</v>
      </c>
      <c r="B65" s="64" t="s">
        <v>247</v>
      </c>
      <c r="C65" s="6" t="str">
        <f>IF(AND(Capture1_NVGPU, Capture1_Valid), IFERROR(MATCH($B65, 'Capture #1 CSV'!$1:$1, 0), ""), "")</f>
        <v/>
      </c>
      <c r="D65" s="6" t="str">
        <f>IF(AND(Capture2_NVGPU, Capture2_Valid), IFERROR(MATCH($B65, 'Capture #2 CSV'!$1:$1, 0), ""), "")</f>
        <v/>
      </c>
      <c r="E65" s="6" t="str">
        <f>IF(AND(Capture3_NVGPU, Capture3_Valid), IFERROR(MATCH($B65, 'Capture #3 CSV'!$1:$1, 0), ""), "")</f>
        <v/>
      </c>
      <c r="F65" s="116" t="str">
        <f>IF(AND(Capture1_Valid, OR(ISNUMBER(C65), ISNUMBER(C66))), Capture1_Length-COUNTA(INDEX('Capture #1 CSV'!$A:$FF, 2, MAX(C65:C66)):INDEX('Capture #1 CSV'!$A:$FF, Capture1_Length, MAX(C65:C66)))+1, "")</f>
        <v/>
      </c>
      <c r="G65" s="128" t="str">
        <f>IF(AND(Capture2_Valid, OR(ISNUMBER(D65), ISNUMBER(D66))), Capture2_Length-COUNTA(INDEX('Capture #2 CSV'!$A:$FF, 2, MAX(D65:D66)):INDEX('Capture #2 CSV'!$A:$FF, Capture2_Length, MAX(D65:D66)))+1, "")</f>
        <v/>
      </c>
      <c r="H65" s="116" t="str">
        <f>IF(AND(Capture3_Valid, OR(ISNUMBER(E65), ISNUMBER(E66))), Capture3_Length-COUNTA(INDEX('Capture #3 CSV'!$A:$FF, 2, MAX(E65:E66)):INDEX('Capture #3 CSV'!$A:$FF, Capture3_Length, MAX(E65:E66)))+1, "")</f>
        <v/>
      </c>
      <c r="I65" s="66"/>
      <c r="J65" s="66"/>
      <c r="K65" s="66"/>
    </row>
    <row r="66" spans="1:11" x14ac:dyDescent="0.25">
      <c r="A66" s="2" t="s">
        <v>9</v>
      </c>
      <c r="B66" s="64"/>
      <c r="C66" s="7" t="str">
        <f>IF(AND(NOT(Capture1_NVGPU), Capture1_Valid), IFERROR(MATCH($B66, 'Capture #1 CSV'!$1:$1, 0), ""), "")</f>
        <v/>
      </c>
      <c r="D66" s="7" t="str">
        <f>IF(AND(NOT(Capture2_NVGPU), Capture2_Valid), IFERROR(MATCH($B66, 'Capture #2 CSV'!$1:$1, 0), ""), "")</f>
        <v/>
      </c>
      <c r="E66" s="7" t="str">
        <f>IF(AND(NOT(Capture3_NVGPU), Capture3_Valid), IFERROR(MATCH($B66, 'Capture #3 CSV'!$1:$1, 0), ""), "")</f>
        <v/>
      </c>
      <c r="F66" s="116"/>
      <c r="G66" s="129"/>
      <c r="H66" s="116"/>
      <c r="I66" s="66"/>
      <c r="J66" s="66"/>
      <c r="K66" s="66"/>
    </row>
    <row r="67" spans="1:11" x14ac:dyDescent="0.25">
      <c r="A67" s="2" t="s">
        <v>7</v>
      </c>
      <c r="B67" s="64" t="s">
        <v>251</v>
      </c>
      <c r="C67" s="6" t="str">
        <f>IF(AND(Capture1_NVGPU, Capture1_Valid), IFERROR(MATCH($B67, 'Capture #1 CSV'!$1:$1, 0), ""), "")</f>
        <v/>
      </c>
      <c r="D67" s="6" t="str">
        <f>IF(AND(Capture2_NVGPU, Capture2_Valid), IFERROR(MATCH($B67, 'Capture #2 CSV'!$1:$1, 0), ""), "")</f>
        <v/>
      </c>
      <c r="E67" s="6" t="str">
        <f>IF(AND(Capture3_NVGPU, Capture3_Valid), IFERROR(MATCH($B67, 'Capture #3 CSV'!$1:$1, 0), ""), "")</f>
        <v/>
      </c>
      <c r="F67" s="116" t="str">
        <f>IF(AND(Capture1_Valid, OR(ISNUMBER(C67), ISNUMBER(C68))), Capture1_Length-COUNTA(INDEX('Capture #1 CSV'!$A:$FF, 2, MAX(C67:C68)):INDEX('Capture #1 CSV'!$A:$FF, Capture1_Length, MAX(C67:C68)))+1, "")</f>
        <v/>
      </c>
      <c r="G67" s="128" t="str">
        <f>IF(AND(Capture2_Valid, OR(ISNUMBER(D67), ISNUMBER(D68))), Capture2_Length-COUNTA(INDEX('Capture #2 CSV'!$A:$FF, 2, MAX(D67:D68)):INDEX('Capture #2 CSV'!$A:$FF, Capture2_Length, MAX(D67:D68)))+1, "")</f>
        <v/>
      </c>
      <c r="H67" s="116" t="str">
        <f>IF(AND(Capture3_Valid, OR(ISNUMBER(E67), ISNUMBER(E68))), Capture3_Length-COUNTA(INDEX('Capture #3 CSV'!$A:$FF, 2, MAX(E67:E68)):INDEX('Capture #3 CSV'!$A:$FF, Capture3_Length, MAX(E67:E68)))+1, "")</f>
        <v/>
      </c>
      <c r="I67" s="66"/>
      <c r="J67" s="66"/>
      <c r="K67" s="66"/>
    </row>
    <row r="68" spans="1:11" x14ac:dyDescent="0.25">
      <c r="A68" s="2" t="s">
        <v>6</v>
      </c>
      <c r="B68" s="64"/>
      <c r="C68" s="7" t="str">
        <f>IF(AND(NOT(Capture1_NVGPU), Capture1_Valid), IFERROR(MATCH($B68, 'Capture #1 CSV'!$1:$1, 0), ""), "")</f>
        <v/>
      </c>
      <c r="D68" s="7" t="str">
        <f>IF(AND(NOT(Capture2_NVGPU), Capture2_Valid), IFERROR(MATCH($B68, 'Capture #2 CSV'!$1:$1, 0), ""), "")</f>
        <v/>
      </c>
      <c r="E68" s="7" t="str">
        <f>IF(AND(NOT(Capture3_NVGPU), Capture3_Valid), IFERROR(MATCH($B68, 'Capture #3 CSV'!$1:$1, 0), ""), "")</f>
        <v/>
      </c>
      <c r="F68" s="116"/>
      <c r="G68" s="129"/>
      <c r="H68" s="116"/>
      <c r="I68" s="66"/>
      <c r="J68" s="66"/>
      <c r="K68" s="66"/>
    </row>
    <row r="69" spans="1:11" x14ac:dyDescent="0.25">
      <c r="A69" s="2" t="s">
        <v>10</v>
      </c>
      <c r="B69" s="64" t="s">
        <v>250</v>
      </c>
      <c r="C69" s="6" t="str">
        <f>IF(AND(Capture1_NVGPU, Capture1_Valid), IFERROR(MATCH($B69, 'Capture #1 CSV'!$1:$1, 0), ""), "")</f>
        <v/>
      </c>
      <c r="D69" s="6" t="str">
        <f>IF(AND(Capture2_NVGPU, Capture2_Valid), IFERROR(MATCH($B69, 'Capture #2 CSV'!$1:$1, 0), ""), "")</f>
        <v/>
      </c>
      <c r="E69" s="6" t="str">
        <f>IF(AND(Capture3_NVGPU, Capture3_Valid), IFERROR(MATCH($B69, 'Capture #3 CSV'!$1:$1, 0), ""), "")</f>
        <v/>
      </c>
      <c r="F69" s="116" t="str">
        <f>IF(AND(Capture1_Valid, OR(ISNUMBER(C69), ISNUMBER(C70))), Capture1_Length-COUNTA(INDEX('Capture #1 CSV'!$A:$FF, 2, MAX(C69:C70)):INDEX('Capture #1 CSV'!$A:$FF, Capture1_Length, MAX(C69:C70)))+1, "")</f>
        <v/>
      </c>
      <c r="G69" s="128" t="str">
        <f>IF(AND(Capture2_Valid, OR(ISNUMBER(D69), ISNUMBER(D70))), Capture2_Length-COUNTA(INDEX('Capture #2 CSV'!$A:$FF, 2, MAX(D69:D70)):INDEX('Capture #2 CSV'!$A:$FF, Capture2_Length, MAX(D69:D70)))+1, "")</f>
        <v/>
      </c>
      <c r="H69" s="116" t="str">
        <f>IF(AND(Capture3_Valid, OR(ISNUMBER(E69), ISNUMBER(E70))), Capture3_Length-COUNTA(INDEX('Capture #3 CSV'!$A:$FF, 2, MAX(E69:E70)):INDEX('Capture #3 CSV'!$A:$FF, Capture3_Length, MAX(E69:E70)))+1, "")</f>
        <v/>
      </c>
      <c r="I69" s="66"/>
      <c r="J69" s="66"/>
      <c r="K69" s="66"/>
    </row>
    <row r="70" spans="1:11" x14ac:dyDescent="0.25">
      <c r="A70" s="2" t="s">
        <v>11</v>
      </c>
      <c r="B70" s="64"/>
      <c r="C70" s="7" t="str">
        <f>IF(AND(NOT(Capture1_NVGPU), Capture1_Valid), IFERROR(MATCH($B70, 'Capture #1 CSV'!$1:$1, 0), ""), "")</f>
        <v/>
      </c>
      <c r="D70" s="7" t="str">
        <f>IF(AND(NOT(Capture2_NVGPU), Capture2_Valid), IFERROR(MATCH($B70, 'Capture #2 CSV'!$1:$1, 0), ""), "")</f>
        <v/>
      </c>
      <c r="E70" s="7" t="str">
        <f>IF(AND(NOT(Capture3_NVGPU), Capture3_Valid), IFERROR(MATCH($B70, 'Capture #3 CSV'!$1:$1, 0), ""), "")</f>
        <v/>
      </c>
      <c r="F70" s="116"/>
      <c r="G70" s="129"/>
      <c r="H70" s="116"/>
      <c r="I70" s="66"/>
      <c r="J70" s="66"/>
      <c r="K70" s="66"/>
    </row>
    <row r="71" spans="1:11" x14ac:dyDescent="0.25">
      <c r="A71" s="19" t="s">
        <v>156</v>
      </c>
      <c r="B71" s="64" t="s">
        <v>151</v>
      </c>
      <c r="C71" s="62" t="str">
        <f>IF(Capture1_Valid, IFERROR(MATCH($B71, 'Capture #1 CSV'!$1:$1, 0), ""), "")</f>
        <v/>
      </c>
      <c r="D71" s="62" t="str">
        <f>IF(Capture2_Valid, IFERROR(MATCH($B71, 'Capture #2 CSV'!$1:$1, 0), ""), "")</f>
        <v/>
      </c>
      <c r="E71" s="62" t="str">
        <f>IF(Capture3_Valid, IFERROR(MATCH($B71, 'Capture #3 CSV'!$1:$1, 0), ""), "")</f>
        <v/>
      </c>
      <c r="F71" s="61" t="str">
        <f>IF(ISNUMBER(C71), Capture1_Length-COUNTA(INDEX('Capture #1 CSV'!$A:$FF, 2, C71):INDEX('Capture #1 CSV'!$A:$FF, Capture1_Length, C71))+1, "")</f>
        <v/>
      </c>
      <c r="G71" s="61" t="str">
        <f>IF(ISNUMBER(D71), Capture2_Length-COUNTA(INDEX('Capture #2 CSV'!$A:$FF, 2, D71):INDEX('Capture #2 CSV'!$A:$FF, Capture2_Length, D71))+1, "")</f>
        <v/>
      </c>
      <c r="H71" s="61" t="str">
        <f>IF(ISNUMBER(E71), Capture3_Length-COUNTA(INDEX('Capture #3 CSV'!$A:$FF, 2, E71):INDEX('Capture #3 CSV'!$A:$FF, Capture3_Length, E71))+1, "")</f>
        <v/>
      </c>
      <c r="I71" s="66"/>
      <c r="J71" s="66"/>
      <c r="K71" s="66"/>
    </row>
    <row r="72" spans="1:11" x14ac:dyDescent="0.25">
      <c r="A72" s="19" t="s">
        <v>191</v>
      </c>
      <c r="B72" s="64" t="s">
        <v>188</v>
      </c>
      <c r="C72" s="62" t="str">
        <f>IF(Capture1_Valid, IFERROR(MATCH($B72, 'Capture #1 CSV'!$1:$1, 0), ""), "")</f>
        <v/>
      </c>
      <c r="D72" s="62" t="str">
        <f>IF(Capture2_Valid, IFERROR(MATCH($B72, 'Capture #2 CSV'!$1:$1, 0), ""), "")</f>
        <v/>
      </c>
      <c r="E72" s="62" t="str">
        <f>IF(Capture3_Valid, IFERROR(MATCH($B72, 'Capture #3 CSV'!$1:$1, 0), ""), "")</f>
        <v/>
      </c>
      <c r="F72" s="61" t="str">
        <f>IF(ISNUMBER(C72), Capture1_Length-COUNTA(INDEX('Capture #1 CSV'!$A:$FF, 2, C72):INDEX('Capture #1 CSV'!$A:$FF, Capture1_Length, C72))+1, "")</f>
        <v/>
      </c>
      <c r="G72" s="61" t="str">
        <f>IF(ISNUMBER(D72), Capture2_Length-COUNTA(INDEX('Capture #2 CSV'!$A:$FF, 2, D72):INDEX('Capture #2 CSV'!$A:$FF, Capture2_Length, D72))+1, "")</f>
        <v/>
      </c>
      <c r="H72" s="61" t="str">
        <f>IF(ISNUMBER(E72), Capture3_Length-COUNTA(INDEX('Capture #3 CSV'!$A:$FF, 2, E72):INDEX('Capture #3 CSV'!$A:$FF, Capture3_Length, E72))+1, "")</f>
        <v/>
      </c>
      <c r="I72" s="66"/>
      <c r="J72" s="66"/>
      <c r="K72" s="66"/>
    </row>
    <row r="73" spans="1:11" x14ac:dyDescent="0.25">
      <c r="A73" s="19" t="s">
        <v>192</v>
      </c>
      <c r="B73" s="64" t="s">
        <v>189</v>
      </c>
      <c r="C73" s="62" t="str">
        <f>IF(Capture1_Valid, IFERROR(MATCH($B73, 'Capture #1 CSV'!$1:$1, 0), ""), "")</f>
        <v/>
      </c>
      <c r="D73" s="62" t="str">
        <f>IF(Capture2_Valid, IFERROR(MATCH($B73, 'Capture #2 CSV'!$1:$1, 0), ""), "")</f>
        <v/>
      </c>
      <c r="E73" s="62" t="str">
        <f>IF(Capture3_Valid, IFERROR(MATCH($B73, 'Capture #3 CSV'!$1:$1, 0), ""), "")</f>
        <v/>
      </c>
      <c r="F73" s="61" t="str">
        <f>IF(ISNUMBER(C73), Capture1_Length-COUNTA(INDEX('Capture #1 CSV'!$A:$FF, 2, C73):INDEX('Capture #1 CSV'!$A:$FF, Capture1_Length, C73))+1, "")</f>
        <v/>
      </c>
      <c r="G73" s="61" t="str">
        <f>IF(ISNUMBER(D73), Capture2_Length-COUNTA(INDEX('Capture #2 CSV'!$A:$FF, 2, D73):INDEX('Capture #2 CSV'!$A:$FF, Capture2_Length, D73))+1, "")</f>
        <v/>
      </c>
      <c r="H73" s="61" t="str">
        <f>IF(ISNUMBER(E73), Capture3_Length-COUNTA(INDEX('Capture #3 CSV'!$A:$FF, 2, E73):INDEX('Capture #3 CSV'!$A:$FF, Capture3_Length, E73))+1, "")</f>
        <v/>
      </c>
      <c r="I73" s="66"/>
      <c r="J73" s="66"/>
      <c r="K73" s="66"/>
    </row>
    <row r="74" spans="1:11" x14ac:dyDescent="0.25">
      <c r="A74" s="19" t="s">
        <v>193</v>
      </c>
      <c r="B74" s="64" t="s">
        <v>190</v>
      </c>
      <c r="C74" s="62" t="str">
        <f>IF(Capture1_Valid, IFERROR(MATCH($B74, 'Capture #1 CSV'!$1:$1, 0), ""), "")</f>
        <v/>
      </c>
      <c r="D74" s="62" t="str">
        <f>IF(Capture2_Valid, IFERROR(MATCH($B74, 'Capture #2 CSV'!$1:$1, 0), ""), "")</f>
        <v/>
      </c>
      <c r="E74" s="62" t="str">
        <f>IF(Capture3_Valid, IFERROR(MATCH($B74, 'Capture #3 CSV'!$1:$1, 0), ""), "")</f>
        <v/>
      </c>
      <c r="F74" s="61" t="str">
        <f>IF(ISNUMBER(C74), Capture1_Length-COUNTA(INDEX('Capture #1 CSV'!$A:$FF, 2, C74):INDEX('Capture #1 CSV'!$A:$FF, Capture1_Length, C74))+1, "")</f>
        <v/>
      </c>
      <c r="G74" s="61" t="str">
        <f>IF(ISNUMBER(D74), Capture2_Length-COUNTA(INDEX('Capture #2 CSV'!$A:$FF, 2, D74):INDEX('Capture #2 CSV'!$A:$FF, Capture2_Length, D74))+1, "")</f>
        <v/>
      </c>
      <c r="H74" s="61" t="str">
        <f>IF(ISNUMBER(E74), Capture3_Length-COUNTA(INDEX('Capture #3 CSV'!$A:$FF, 2, E74):INDEX('Capture #3 CSV'!$A:$FF, Capture3_Length, E74))+1, "")</f>
        <v/>
      </c>
      <c r="I74" s="66"/>
      <c r="J74" s="66"/>
      <c r="K74" s="66"/>
    </row>
    <row r="75" spans="1:11" x14ac:dyDescent="0.25">
      <c r="A75" s="4" t="s">
        <v>17</v>
      </c>
      <c r="B75" s="31" t="s">
        <v>194</v>
      </c>
      <c r="C75" s="130" t="s">
        <v>195</v>
      </c>
      <c r="D75" s="131"/>
      <c r="E75" s="132"/>
      <c r="F75" s="130" t="s">
        <v>196</v>
      </c>
      <c r="G75" s="131"/>
      <c r="H75" s="132"/>
      <c r="I75" s="135" t="s">
        <v>160</v>
      </c>
      <c r="J75" s="136"/>
      <c r="K75" s="136"/>
    </row>
    <row r="76" spans="1:11" x14ac:dyDescent="0.25">
      <c r="A76" s="2" t="s">
        <v>18</v>
      </c>
      <c r="B76" s="30" t="s">
        <v>85</v>
      </c>
      <c r="C76" s="23" t="str">
        <f>IF(Capture1_Valid, IFERROR(MATCH($B76, 'Capture #1 CSV'!$1:$1, 0), ""), "")</f>
        <v/>
      </c>
      <c r="D76" s="23" t="str">
        <f>IF(Capture2_Valid, IFERROR(MATCH($B76, 'Capture #2 CSV'!$1:$1, 0), ""), "")</f>
        <v/>
      </c>
      <c r="E76" s="23" t="str">
        <f>IF(Capture1_Valid, IFERROR(MATCH($B76, 'Capture #3 CSV'!$1:$1, 0), ""), "")</f>
        <v/>
      </c>
      <c r="F76" s="26" t="str">
        <f>IF(ISNUMBER(C76), Capture1_Length-COUNTA(INDEX('Capture #1 CSV'!$A:$FF, 2, C76):INDEX('Capture #1 CSV'!$A:$FF, Capture1_Length, C76))+1, "")</f>
        <v/>
      </c>
      <c r="G76" s="26" t="str">
        <f>IF(ISNUMBER(D76), Capture2_Length-COUNTA(INDEX('Capture #2 CSV'!$A:$FF, 2, D76):INDEX('Capture #2 CSV'!$A:$FF, Capture2_Length, D76))+1, "")</f>
        <v/>
      </c>
      <c r="H76" s="26" t="str">
        <f>IF(ISNUMBER(E76), Capture3_Length-COUNTA(INDEX('Capture #3 CSV'!$A:$FF, 2, E76):INDEX('Capture #3 CSV'!$A:$FF, Capture3_Length, E76))+1, "")</f>
        <v/>
      </c>
      <c r="I76" s="26" t="str">
        <f>IF(Capture1_Valid, IFERROR(AVERAGE(INDEX('Capture #1 CSV'!$A:$FF, Backend!F76, Backend!C76):INDEX('Capture #1 CSV'!$A:$FF, Capture1_Length, Backend!C76)), ""), "")</f>
        <v/>
      </c>
      <c r="J76" s="26" t="str">
        <f>IF(Capture2_Valid, IFERROR(AVERAGE(INDEX('Capture #2 CSV'!$A:$FF, Backend!G76, Backend!D76):INDEX('Capture #2 CSV'!$A:$FF, Capture2_Length, Backend!D76)), ""), "")</f>
        <v/>
      </c>
      <c r="K76" s="26" t="str">
        <f>IF(Capture3_Valid, IFERROR(AVERAGE(INDEX('Capture #3 CSV'!$A:$FF, Backend!H76, Backend!E76):INDEX('Capture #3 CSV'!$A:$FF, Capture3_Length, Backend!E76)), ""), "")</f>
        <v/>
      </c>
    </row>
    <row r="77" spans="1:11" x14ac:dyDescent="0.25">
      <c r="A77" s="2" t="s">
        <v>19</v>
      </c>
      <c r="B77" s="30" t="s">
        <v>86</v>
      </c>
      <c r="C77" s="23" t="str">
        <f>IFERROR(IF(I76="", "", MATCH($B77, 'Capture #1 CSV'!$1:$1, 0)), "")</f>
        <v/>
      </c>
      <c r="D77" s="23" t="str">
        <f>IFERROR(IF(J76="", "", MATCH($B77, 'Capture #2 CSV'!$1:$1, 0)), "")</f>
        <v/>
      </c>
      <c r="E77" s="23" t="str">
        <f>IFERROR(IF(K76="", "", MATCH($B77, 'Capture #3 CSV'!$1:$1, 0)), "")</f>
        <v/>
      </c>
      <c r="F77" s="26" t="str">
        <f>IF(I76="", "", IF(ISNUMBER(C77), Capture1_Length-COUNTA(INDEX('Capture #1 CSV'!$A:$FF, 2, C77):INDEX('Capture #1 CSV'!$A:$FF, Capture1_Length, C77))+1, ""))</f>
        <v/>
      </c>
      <c r="G77" s="26" t="str">
        <f>IF(J76="", "", IF(ISNUMBER(D77), Capture2_Length-COUNTA(INDEX('Capture #2 CSV'!$A:$FF, 2, D77):INDEX('Capture #2 CSV'!$A:$FF, Capture2_Length, D77))+1, ""))</f>
        <v/>
      </c>
      <c r="H77" s="26" t="str">
        <f>IF(K76="", "", IF(ISNUMBER(E77), Capture3_Length-COUNTA(INDEX('Capture #3 CSV'!$A:$FF, 2, E77):INDEX('Capture #3 CSV'!$A:$FF, Capture3_Length, E77))+1, ""))</f>
        <v/>
      </c>
      <c r="I77" s="26" t="str">
        <f>IFERROR(IF(I76="", "", AVERAGE(INDEX('Capture #1 CSV'!$A:$FF, Backend!F77, Backend!C77):INDEX('Capture #1 CSV'!$A:$FF, Capture1_Length, Backend!C77))), "")</f>
        <v/>
      </c>
      <c r="J77" s="26" t="str">
        <f>IFERROR(IF(J76="", "", AVERAGE(INDEX('Capture #2 CSV'!$A:$FF, Backend!G77, Backend!D77):INDEX('Capture #2 CSV'!$A:$FF, Capture2_Length, Backend!D77))), "")</f>
        <v/>
      </c>
      <c r="K77" s="26" t="str">
        <f>IFERROR(IF(K76="", "", AVERAGE(INDEX('Capture #3 CSV'!$A:$FF, Backend!H77, Backend!E77):INDEX('Capture #3 CSV'!$A:$FF, Capture3_Length, Backend!E77))), "")</f>
        <v/>
      </c>
    </row>
    <row r="78" spans="1:11" x14ac:dyDescent="0.25">
      <c r="A78" s="2" t="s">
        <v>20</v>
      </c>
      <c r="B78" s="30" t="s">
        <v>87</v>
      </c>
      <c r="C78" s="23" t="str">
        <f>IFERROR(IF(I77="", "", MATCH($B78, 'Capture #1 CSV'!$1:$1, 0)), "")</f>
        <v/>
      </c>
      <c r="D78" s="23" t="str">
        <f>IFERROR(IF(J77="", "", MATCH($B78, 'Capture #2 CSV'!$1:$1, 0)), "")</f>
        <v/>
      </c>
      <c r="E78" s="23" t="str">
        <f>IFERROR(IF(K77="", "", MATCH($B78, 'Capture #3 CSV'!$1:$1, 0)), "")</f>
        <v/>
      </c>
      <c r="F78" s="26" t="str">
        <f>IF(I77="", "", IF(ISNUMBER(C78), Capture1_Length-COUNTA(INDEX('Capture #1 CSV'!$A:$FF, 2, C78):INDEX('Capture #1 CSV'!$A:$FF, Capture1_Length, C78))+1, ""))</f>
        <v/>
      </c>
      <c r="G78" s="26" t="str">
        <f>IF(J77="", "", IF(ISNUMBER(D78), Capture2_Length-COUNTA(INDEX('Capture #2 CSV'!$A:$FF, 2, D78):INDEX('Capture #2 CSV'!$A:$FF, Capture2_Length, D78))+1, ""))</f>
        <v/>
      </c>
      <c r="H78" s="26" t="str">
        <f>IF(K77="", "", IF(ISNUMBER(E78), Capture3_Length-COUNTA(INDEX('Capture #3 CSV'!$A:$FF, 2, E78):INDEX('Capture #3 CSV'!$A:$FF, Capture3_Length, E78))+1, ""))</f>
        <v/>
      </c>
      <c r="I78" s="26" t="str">
        <f>IFERROR(IF(I77="", "", AVERAGE(INDEX('Capture #1 CSV'!$A:$FF, Backend!F78, Backend!C78):INDEX('Capture #1 CSV'!$A:$FF, Capture1_Length, Backend!C78))), "")</f>
        <v/>
      </c>
      <c r="J78" s="26" t="str">
        <f>IFERROR(IF(J77="", "", AVERAGE(INDEX('Capture #2 CSV'!$A:$FF, Backend!G78, Backend!D78):INDEX('Capture #2 CSV'!$A:$FF, Capture2_Length, Backend!D78))), "")</f>
        <v/>
      </c>
      <c r="K78" s="26" t="str">
        <f>IFERROR(IF(K77="", "", AVERAGE(INDEX('Capture #3 CSV'!$A:$FF, Backend!H78, Backend!E78):INDEX('Capture #3 CSV'!$A:$FF, Capture3_Length, Backend!E78))), "")</f>
        <v/>
      </c>
    </row>
    <row r="79" spans="1:11" x14ac:dyDescent="0.25">
      <c r="A79" s="2" t="s">
        <v>21</v>
      </c>
      <c r="B79" s="30" t="s">
        <v>88</v>
      </c>
      <c r="C79" s="23" t="str">
        <f>IFERROR(IF(I78="", "", MATCH($B79, 'Capture #1 CSV'!$1:$1, 0)), "")</f>
        <v/>
      </c>
      <c r="D79" s="23" t="str">
        <f>IFERROR(IF(J78="", "", MATCH($B79, 'Capture #2 CSV'!$1:$1, 0)), "")</f>
        <v/>
      </c>
      <c r="E79" s="23" t="str">
        <f>IFERROR(IF(K78="", "", MATCH($B79, 'Capture #3 CSV'!$1:$1, 0)), "")</f>
        <v/>
      </c>
      <c r="F79" s="26" t="str">
        <f>IF(I78="", "", IF(ISNUMBER(C79), Capture1_Length-COUNTA(INDEX('Capture #1 CSV'!$A:$FF, 2, C79):INDEX('Capture #1 CSV'!$A:$FF, Capture1_Length, C79))+1, ""))</f>
        <v/>
      </c>
      <c r="G79" s="26" t="str">
        <f>IF(J78="", "", IF(ISNUMBER(D79), Capture2_Length-COUNTA(INDEX('Capture #2 CSV'!$A:$FF, 2, D79):INDEX('Capture #2 CSV'!$A:$FF, Capture2_Length, D79))+1, ""))</f>
        <v/>
      </c>
      <c r="H79" s="26" t="str">
        <f>IF(K78="", "", IF(ISNUMBER(E79), Capture3_Length-COUNTA(INDEX('Capture #3 CSV'!$A:$FF, 2, E79):INDEX('Capture #3 CSV'!$A:$FF, Capture3_Length, E79))+1, ""))</f>
        <v/>
      </c>
      <c r="I79" s="26" t="str">
        <f>IFERROR(IF(I78="", "", AVERAGE(INDEX('Capture #1 CSV'!$A:$FF, Backend!F79, Backend!C79):INDEX('Capture #1 CSV'!$A:$FF, Capture1_Length, Backend!C79))), "")</f>
        <v/>
      </c>
      <c r="J79" s="26" t="str">
        <f>IFERROR(IF(J78="", "", AVERAGE(INDEX('Capture #2 CSV'!$A:$FF, Backend!G79, Backend!D79):INDEX('Capture #2 CSV'!$A:$FF, Capture2_Length, Backend!D79))), "")</f>
        <v/>
      </c>
      <c r="K79" s="26" t="str">
        <f>IFERROR(IF(K78="", "", AVERAGE(INDEX('Capture #3 CSV'!$A:$FF, Backend!H79, Backend!E79):INDEX('Capture #3 CSV'!$A:$FF, Capture3_Length, Backend!E79))), "")</f>
        <v/>
      </c>
    </row>
    <row r="80" spans="1:11" x14ac:dyDescent="0.25">
      <c r="A80" s="2" t="s">
        <v>22</v>
      </c>
      <c r="B80" s="30" t="s">
        <v>89</v>
      </c>
      <c r="C80" s="23" t="str">
        <f>IFERROR(IF(I79="", "", MATCH($B80, 'Capture #1 CSV'!$1:$1, 0)), "")</f>
        <v/>
      </c>
      <c r="D80" s="23" t="str">
        <f>IFERROR(IF(J79="", "", MATCH($B80, 'Capture #2 CSV'!$1:$1, 0)), "")</f>
        <v/>
      </c>
      <c r="E80" s="23" t="str">
        <f>IFERROR(IF(K79="", "", MATCH($B80, 'Capture #3 CSV'!$1:$1, 0)), "")</f>
        <v/>
      </c>
      <c r="F80" s="26" t="str">
        <f>IF(I79="", "", IF(ISNUMBER(C80), Capture1_Length-COUNTA(INDEX('Capture #1 CSV'!$A:$FF, 2, C80):INDEX('Capture #1 CSV'!$A:$FF, Capture1_Length, C80))+1, ""))</f>
        <v/>
      </c>
      <c r="G80" s="26" t="str">
        <f>IF(J79="", "", IF(ISNUMBER(D80), Capture2_Length-COUNTA(INDEX('Capture #2 CSV'!$A:$FF, 2, D80):INDEX('Capture #2 CSV'!$A:$FF, Capture2_Length, D80))+1, ""))</f>
        <v/>
      </c>
      <c r="H80" s="26" t="str">
        <f>IF(K79="", "", IF(ISNUMBER(E80), Capture3_Length-COUNTA(INDEX('Capture #3 CSV'!$A:$FF, 2, E80):INDEX('Capture #3 CSV'!$A:$FF, Capture3_Length, E80))+1, ""))</f>
        <v/>
      </c>
      <c r="I80" s="26" t="str">
        <f>IFERROR(IF(I79="", "", AVERAGE(INDEX('Capture #1 CSV'!$A:$FF, Backend!F80, Backend!C80):INDEX('Capture #1 CSV'!$A:$FF, Capture1_Length, Backend!C80))), "")</f>
        <v/>
      </c>
      <c r="J80" s="26" t="str">
        <f>IFERROR(IF(J79="", "", AVERAGE(INDEX('Capture #2 CSV'!$A:$FF, Backend!G80, Backend!D80):INDEX('Capture #2 CSV'!$A:$FF, Capture2_Length, Backend!D80))), "")</f>
        <v/>
      </c>
      <c r="K80" s="26" t="str">
        <f>IFERROR(IF(K79="", "", AVERAGE(INDEX('Capture #3 CSV'!$A:$FF, Backend!H80, Backend!E80):INDEX('Capture #3 CSV'!$A:$FF, Capture3_Length, Backend!E80))), "")</f>
        <v/>
      </c>
    </row>
    <row r="81" spans="1:11" x14ac:dyDescent="0.25">
      <c r="A81" s="2" t="s">
        <v>23</v>
      </c>
      <c r="B81" s="30" t="s">
        <v>90</v>
      </c>
      <c r="C81" s="23" t="str">
        <f>IFERROR(IF(I80="", "", MATCH($B81, 'Capture #1 CSV'!$1:$1, 0)), "")</f>
        <v/>
      </c>
      <c r="D81" s="23" t="str">
        <f>IFERROR(IF(J80="", "", MATCH($B81, 'Capture #2 CSV'!$1:$1, 0)), "")</f>
        <v/>
      </c>
      <c r="E81" s="23" t="str">
        <f>IFERROR(IF(K80="", "", MATCH($B81, 'Capture #3 CSV'!$1:$1, 0)), "")</f>
        <v/>
      </c>
      <c r="F81" s="26" t="str">
        <f>IF(I80="", "", IF(ISNUMBER(C81), Capture1_Length-COUNTA(INDEX('Capture #1 CSV'!$A:$FF, 2, C81):INDEX('Capture #1 CSV'!$A:$FF, Capture1_Length, C81))+1, ""))</f>
        <v/>
      </c>
      <c r="G81" s="26" t="str">
        <f>IF(J80="", "", IF(ISNUMBER(D81), Capture2_Length-COUNTA(INDEX('Capture #2 CSV'!$A:$FF, 2, D81):INDEX('Capture #2 CSV'!$A:$FF, Capture2_Length, D81))+1, ""))</f>
        <v/>
      </c>
      <c r="H81" s="26" t="str">
        <f>IF(K80="", "", IF(ISNUMBER(E81), Capture3_Length-COUNTA(INDEX('Capture #3 CSV'!$A:$FF, 2, E81):INDEX('Capture #3 CSV'!$A:$FF, Capture3_Length, E81))+1, ""))</f>
        <v/>
      </c>
      <c r="I81" s="26" t="str">
        <f>IFERROR(IF(I80="", "", AVERAGE(INDEX('Capture #1 CSV'!$A:$FF, Backend!F81, Backend!C81):INDEX('Capture #1 CSV'!$A:$FF, Capture1_Length, Backend!C81))), "")</f>
        <v/>
      </c>
      <c r="J81" s="26" t="str">
        <f>IFERROR(IF(J80="", "", AVERAGE(INDEX('Capture #2 CSV'!$A:$FF, Backend!G81, Backend!D81):INDEX('Capture #2 CSV'!$A:$FF, Capture2_Length, Backend!D81))), "")</f>
        <v/>
      </c>
      <c r="K81" s="26" t="str">
        <f>IFERROR(IF(K80="", "", AVERAGE(INDEX('Capture #3 CSV'!$A:$FF, Backend!H81, Backend!E81):INDEX('Capture #3 CSV'!$A:$FF, Capture3_Length, Backend!E81))), "")</f>
        <v/>
      </c>
    </row>
    <row r="82" spans="1:11" x14ac:dyDescent="0.25">
      <c r="A82" s="2" t="s">
        <v>24</v>
      </c>
      <c r="B82" s="30" t="s">
        <v>91</v>
      </c>
      <c r="C82" s="23" t="str">
        <f>IFERROR(IF(I81="", "", MATCH($B82, 'Capture #1 CSV'!$1:$1, 0)), "")</f>
        <v/>
      </c>
      <c r="D82" s="23" t="str">
        <f>IFERROR(IF(J81="", "", MATCH($B82, 'Capture #2 CSV'!$1:$1, 0)), "")</f>
        <v/>
      </c>
      <c r="E82" s="23" t="str">
        <f>IFERROR(IF(K81="", "", MATCH($B82, 'Capture #3 CSV'!$1:$1, 0)), "")</f>
        <v/>
      </c>
      <c r="F82" s="26" t="str">
        <f>IF(I81="", "", IF(ISNUMBER(C82), Capture1_Length-COUNTA(INDEX('Capture #1 CSV'!$A:$FF, 2, C82):INDEX('Capture #1 CSV'!$A:$FF, Capture1_Length, C82))+1, ""))</f>
        <v/>
      </c>
      <c r="G82" s="26" t="str">
        <f>IF(J81="", "", IF(ISNUMBER(D82), Capture2_Length-COUNTA(INDEX('Capture #2 CSV'!$A:$FF, 2, D82):INDEX('Capture #2 CSV'!$A:$FF, Capture2_Length, D82))+1, ""))</f>
        <v/>
      </c>
      <c r="H82" s="26" t="str">
        <f>IF(K81="", "", IF(ISNUMBER(E82), Capture3_Length-COUNTA(INDEX('Capture #3 CSV'!$A:$FF, 2, E82):INDEX('Capture #3 CSV'!$A:$FF, Capture3_Length, E82))+1, ""))</f>
        <v/>
      </c>
      <c r="I82" s="26" t="str">
        <f>IFERROR(IF(I81="", "", AVERAGE(INDEX('Capture #1 CSV'!$A:$FF, Backend!F82, Backend!C82):INDEX('Capture #1 CSV'!$A:$FF, Capture1_Length, Backend!C82))), "")</f>
        <v/>
      </c>
      <c r="J82" s="26" t="str">
        <f>IFERROR(IF(J81="", "", AVERAGE(INDEX('Capture #2 CSV'!$A:$FF, Backend!G82, Backend!D82):INDEX('Capture #2 CSV'!$A:$FF, Capture2_Length, Backend!D82))), "")</f>
        <v/>
      </c>
      <c r="K82" s="26" t="str">
        <f>IFERROR(IF(K81="", "", AVERAGE(INDEX('Capture #3 CSV'!$A:$FF, Backend!H82, Backend!E82):INDEX('Capture #3 CSV'!$A:$FF, Capture3_Length, Backend!E82))), "")</f>
        <v/>
      </c>
    </row>
    <row r="83" spans="1:11" x14ac:dyDescent="0.25">
      <c r="A83" s="2" t="s">
        <v>25</v>
      </c>
      <c r="B83" s="30" t="s">
        <v>92</v>
      </c>
      <c r="C83" s="23" t="str">
        <f>IFERROR(IF(I82="", "", MATCH($B83, 'Capture #1 CSV'!$1:$1, 0)), "")</f>
        <v/>
      </c>
      <c r="D83" s="23" t="str">
        <f>IFERROR(IF(J82="", "", MATCH($B83, 'Capture #2 CSV'!$1:$1, 0)), "")</f>
        <v/>
      </c>
      <c r="E83" s="23" t="str">
        <f>IFERROR(IF(K82="", "", MATCH($B83, 'Capture #3 CSV'!$1:$1, 0)), "")</f>
        <v/>
      </c>
      <c r="F83" s="26" t="str">
        <f>IF(I82="", "", IF(ISNUMBER(C83), Capture1_Length-COUNTA(INDEX('Capture #1 CSV'!$A:$FF, 2, C83):INDEX('Capture #1 CSV'!$A:$FF, Capture1_Length, C83))+1, ""))</f>
        <v/>
      </c>
      <c r="G83" s="26" t="str">
        <f>IF(J82="", "", IF(ISNUMBER(D83), Capture2_Length-COUNTA(INDEX('Capture #2 CSV'!$A:$FF, 2, D83):INDEX('Capture #2 CSV'!$A:$FF, Capture2_Length, D83))+1, ""))</f>
        <v/>
      </c>
      <c r="H83" s="26" t="str">
        <f>IF(K82="", "", IF(ISNUMBER(E83), Capture3_Length-COUNTA(INDEX('Capture #3 CSV'!$A:$FF, 2, E83):INDEX('Capture #3 CSV'!$A:$FF, Capture3_Length, E83))+1, ""))</f>
        <v/>
      </c>
      <c r="I83" s="26" t="str">
        <f>IFERROR(IF(I82="", "", AVERAGE(INDEX('Capture #1 CSV'!$A:$FF, Backend!F83, Backend!C83):INDEX('Capture #1 CSV'!$A:$FF, Capture1_Length, Backend!C83))), "")</f>
        <v/>
      </c>
      <c r="J83" s="26" t="str">
        <f>IFERROR(IF(J82="", "", AVERAGE(INDEX('Capture #2 CSV'!$A:$FF, Backend!G83, Backend!D83):INDEX('Capture #2 CSV'!$A:$FF, Capture2_Length, Backend!D83))), "")</f>
        <v/>
      </c>
      <c r="K83" s="26" t="str">
        <f>IFERROR(IF(K82="", "", AVERAGE(INDEX('Capture #3 CSV'!$A:$FF, Backend!H83, Backend!E83):INDEX('Capture #3 CSV'!$A:$FF, Capture3_Length, Backend!E83))), "")</f>
        <v/>
      </c>
    </row>
    <row r="84" spans="1:11" x14ac:dyDescent="0.25">
      <c r="A84" s="2" t="s">
        <v>26</v>
      </c>
      <c r="B84" s="30" t="s">
        <v>93</v>
      </c>
      <c r="C84" s="23" t="str">
        <f>IFERROR(IF(I83="", "", MATCH($B84, 'Capture #1 CSV'!$1:$1, 0)), "")</f>
        <v/>
      </c>
      <c r="D84" s="23" t="str">
        <f>IFERROR(IF(J83="", "", MATCH($B84, 'Capture #2 CSV'!$1:$1, 0)), "")</f>
        <v/>
      </c>
      <c r="E84" s="23" t="str">
        <f>IFERROR(IF(K83="", "", MATCH($B84, 'Capture #3 CSV'!$1:$1, 0)), "")</f>
        <v/>
      </c>
      <c r="F84" s="26" t="str">
        <f>IF(I83="", "", IF(ISNUMBER(C84), Capture1_Length-COUNTA(INDEX('Capture #1 CSV'!$A:$FF, 2, C84):INDEX('Capture #1 CSV'!$A:$FF, Capture1_Length, C84))+1, ""))</f>
        <v/>
      </c>
      <c r="G84" s="26" t="str">
        <f>IF(J83="", "", IF(ISNUMBER(D84), Capture2_Length-COUNTA(INDEX('Capture #2 CSV'!$A:$FF, 2, D84):INDEX('Capture #2 CSV'!$A:$FF, Capture2_Length, D84))+1, ""))</f>
        <v/>
      </c>
      <c r="H84" s="26" t="str">
        <f>IF(K83="", "", IF(ISNUMBER(E84), Capture3_Length-COUNTA(INDEX('Capture #3 CSV'!$A:$FF, 2, E84):INDEX('Capture #3 CSV'!$A:$FF, Capture3_Length, E84))+1, ""))</f>
        <v/>
      </c>
      <c r="I84" s="26" t="str">
        <f>IFERROR(IF(I83="", "", AVERAGE(INDEX('Capture #1 CSV'!$A:$FF, Backend!F84, Backend!C84):INDEX('Capture #1 CSV'!$A:$FF, Capture1_Length, Backend!C84))), "")</f>
        <v/>
      </c>
      <c r="J84" s="26" t="str">
        <f>IFERROR(IF(J83="", "", AVERAGE(INDEX('Capture #2 CSV'!$A:$FF, Backend!G84, Backend!D84):INDEX('Capture #2 CSV'!$A:$FF, Capture2_Length, Backend!D84))), "")</f>
        <v/>
      </c>
      <c r="K84" s="26" t="str">
        <f>IFERROR(IF(K83="", "", AVERAGE(INDEX('Capture #3 CSV'!$A:$FF, Backend!H84, Backend!E84):INDEX('Capture #3 CSV'!$A:$FF, Capture3_Length, Backend!E84))), "")</f>
        <v/>
      </c>
    </row>
    <row r="85" spans="1:11" x14ac:dyDescent="0.25">
      <c r="A85" s="2" t="s">
        <v>27</v>
      </c>
      <c r="B85" s="30" t="s">
        <v>94</v>
      </c>
      <c r="C85" s="23" t="str">
        <f>IFERROR(IF(I84="", "", MATCH($B85, 'Capture #1 CSV'!$1:$1, 0)), "")</f>
        <v/>
      </c>
      <c r="D85" s="23" t="str">
        <f>IFERROR(IF(J84="", "", MATCH($B85, 'Capture #2 CSV'!$1:$1, 0)), "")</f>
        <v/>
      </c>
      <c r="E85" s="23" t="str">
        <f>IFERROR(IF(K84="", "", MATCH($B85, 'Capture #3 CSV'!$1:$1, 0)), "")</f>
        <v/>
      </c>
      <c r="F85" s="26" t="str">
        <f>IF(I84="", "", IF(ISNUMBER(C85), Capture1_Length-COUNTA(INDEX('Capture #1 CSV'!$A:$FF, 2, C85):INDEX('Capture #1 CSV'!$A:$FF, Capture1_Length, C85))+1, ""))</f>
        <v/>
      </c>
      <c r="G85" s="26" t="str">
        <f>IF(J84="", "", IF(ISNUMBER(D85), Capture2_Length-COUNTA(INDEX('Capture #2 CSV'!$A:$FF, 2, D85):INDEX('Capture #2 CSV'!$A:$FF, Capture2_Length, D85))+1, ""))</f>
        <v/>
      </c>
      <c r="H85" s="26" t="str">
        <f>IF(K84="", "", IF(ISNUMBER(E85), Capture3_Length-COUNTA(INDEX('Capture #3 CSV'!$A:$FF, 2, E85):INDEX('Capture #3 CSV'!$A:$FF, Capture3_Length, E85))+1, ""))</f>
        <v/>
      </c>
      <c r="I85" s="26" t="str">
        <f>IFERROR(IF(I84="", "", AVERAGE(INDEX('Capture #1 CSV'!$A:$FF, Backend!F85, Backend!C85):INDEX('Capture #1 CSV'!$A:$FF, Capture1_Length, Backend!C85))), "")</f>
        <v/>
      </c>
      <c r="J85" s="26" t="str">
        <f>IFERROR(IF(J84="", "", AVERAGE(INDEX('Capture #2 CSV'!$A:$FF, Backend!G85, Backend!D85):INDEX('Capture #2 CSV'!$A:$FF, Capture2_Length, Backend!D85))), "")</f>
        <v/>
      </c>
      <c r="K85" s="26" t="str">
        <f>IFERROR(IF(K84="", "", AVERAGE(INDEX('Capture #3 CSV'!$A:$FF, Backend!H85, Backend!E85):INDEX('Capture #3 CSV'!$A:$FF, Capture3_Length, Backend!E85))), "")</f>
        <v/>
      </c>
    </row>
    <row r="86" spans="1:11" x14ac:dyDescent="0.25">
      <c r="A86" s="2" t="s">
        <v>28</v>
      </c>
      <c r="B86" s="30" t="s">
        <v>95</v>
      </c>
      <c r="C86" s="23" t="str">
        <f>IFERROR(IF(I85="", "", MATCH($B86, 'Capture #1 CSV'!$1:$1, 0)), "")</f>
        <v/>
      </c>
      <c r="D86" s="23" t="str">
        <f>IFERROR(IF(J85="", "", MATCH($B86, 'Capture #2 CSV'!$1:$1, 0)), "")</f>
        <v/>
      </c>
      <c r="E86" s="23" t="str">
        <f>IFERROR(IF(K85="", "", MATCH($B86, 'Capture #3 CSV'!$1:$1, 0)), "")</f>
        <v/>
      </c>
      <c r="F86" s="26" t="str">
        <f>IF(I85="", "", IF(ISNUMBER(C86), Capture1_Length-COUNTA(INDEX('Capture #1 CSV'!$A:$FF, 2, C86):INDEX('Capture #1 CSV'!$A:$FF, Capture1_Length, C86))+1, ""))</f>
        <v/>
      </c>
      <c r="G86" s="26" t="str">
        <f>IF(J85="", "", IF(ISNUMBER(D86), Capture2_Length-COUNTA(INDEX('Capture #2 CSV'!$A:$FF, 2, D86):INDEX('Capture #2 CSV'!$A:$FF, Capture2_Length, D86))+1, ""))</f>
        <v/>
      </c>
      <c r="H86" s="26" t="str">
        <f>IF(K85="", "", IF(ISNUMBER(E86), Capture3_Length-COUNTA(INDEX('Capture #3 CSV'!$A:$FF, 2, E86):INDEX('Capture #3 CSV'!$A:$FF, Capture3_Length, E86))+1, ""))</f>
        <v/>
      </c>
      <c r="I86" s="26" t="str">
        <f>IFERROR(IF(I85="", "", AVERAGE(INDEX('Capture #1 CSV'!$A:$FF, Backend!F86, Backend!C86):INDEX('Capture #1 CSV'!$A:$FF, Capture1_Length, Backend!C86))), "")</f>
        <v/>
      </c>
      <c r="J86" s="26" t="str">
        <f>IFERROR(IF(J85="", "", AVERAGE(INDEX('Capture #2 CSV'!$A:$FF, Backend!G86, Backend!D86):INDEX('Capture #2 CSV'!$A:$FF, Capture2_Length, Backend!D86))), "")</f>
        <v/>
      </c>
      <c r="K86" s="26" t="str">
        <f>IFERROR(IF(K85="", "", AVERAGE(INDEX('Capture #3 CSV'!$A:$FF, Backend!H86, Backend!E86):INDEX('Capture #3 CSV'!$A:$FF, Capture3_Length, Backend!E86))), "")</f>
        <v/>
      </c>
    </row>
    <row r="87" spans="1:11" x14ac:dyDescent="0.25">
      <c r="A87" s="2" t="s">
        <v>29</v>
      </c>
      <c r="B87" s="30" t="s">
        <v>96</v>
      </c>
      <c r="C87" s="23" t="str">
        <f>IFERROR(IF(I86="", "", MATCH($B87, 'Capture #1 CSV'!$1:$1, 0)), "")</f>
        <v/>
      </c>
      <c r="D87" s="23" t="str">
        <f>IFERROR(IF(J86="", "", MATCH($B87, 'Capture #2 CSV'!$1:$1, 0)), "")</f>
        <v/>
      </c>
      <c r="E87" s="23" t="str">
        <f>IFERROR(IF(K86="", "", MATCH($B87, 'Capture #3 CSV'!$1:$1, 0)), "")</f>
        <v/>
      </c>
      <c r="F87" s="26" t="str">
        <f>IF(I86="", "", IF(ISNUMBER(C87), Capture1_Length-COUNTA(INDEX('Capture #1 CSV'!$A:$FF, 2, C87):INDEX('Capture #1 CSV'!$A:$FF, Capture1_Length, C87))+1, ""))</f>
        <v/>
      </c>
      <c r="G87" s="26" t="str">
        <f>IF(J86="", "", IF(ISNUMBER(D87), Capture2_Length-COUNTA(INDEX('Capture #2 CSV'!$A:$FF, 2, D87):INDEX('Capture #2 CSV'!$A:$FF, Capture2_Length, D87))+1, ""))</f>
        <v/>
      </c>
      <c r="H87" s="26" t="str">
        <f>IF(K86="", "", IF(ISNUMBER(E87), Capture3_Length-COUNTA(INDEX('Capture #3 CSV'!$A:$FF, 2, E87):INDEX('Capture #3 CSV'!$A:$FF, Capture3_Length, E87))+1, ""))</f>
        <v/>
      </c>
      <c r="I87" s="26" t="str">
        <f>IFERROR(IF(I86="", "", AVERAGE(INDEX('Capture #1 CSV'!$A:$FF, Backend!F87, Backend!C87):INDEX('Capture #1 CSV'!$A:$FF, Capture1_Length, Backend!C87))), "")</f>
        <v/>
      </c>
      <c r="J87" s="26" t="str">
        <f>IFERROR(IF(J86="", "", AVERAGE(INDEX('Capture #2 CSV'!$A:$FF, Backend!G87, Backend!D87):INDEX('Capture #2 CSV'!$A:$FF, Capture2_Length, Backend!D87))), "")</f>
        <v/>
      </c>
      <c r="K87" s="26" t="str">
        <f>IFERROR(IF(K86="", "", AVERAGE(INDEX('Capture #3 CSV'!$A:$FF, Backend!H87, Backend!E87):INDEX('Capture #3 CSV'!$A:$FF, Capture3_Length, Backend!E87))), "")</f>
        <v/>
      </c>
    </row>
    <row r="88" spans="1:11" x14ac:dyDescent="0.25">
      <c r="A88" s="2" t="s">
        <v>30</v>
      </c>
      <c r="B88" s="30" t="s">
        <v>97</v>
      </c>
      <c r="C88" s="23" t="str">
        <f>IFERROR(IF(I87="", "", MATCH($B88, 'Capture #1 CSV'!$1:$1, 0)), "")</f>
        <v/>
      </c>
      <c r="D88" s="23" t="str">
        <f>IFERROR(IF(J87="", "", MATCH($B88, 'Capture #2 CSV'!$1:$1, 0)), "")</f>
        <v/>
      </c>
      <c r="E88" s="23" t="str">
        <f>IFERROR(IF(K87="", "", MATCH($B88, 'Capture #3 CSV'!$1:$1, 0)), "")</f>
        <v/>
      </c>
      <c r="F88" s="26" t="str">
        <f>IF(I87="", "", IF(ISNUMBER(C88), Capture1_Length-COUNTA(INDEX('Capture #1 CSV'!$A:$FF, 2, C88):INDEX('Capture #1 CSV'!$A:$FF, Capture1_Length, C88))+1, ""))</f>
        <v/>
      </c>
      <c r="G88" s="26" t="str">
        <f>IF(J87="", "", IF(ISNUMBER(D88), Capture2_Length-COUNTA(INDEX('Capture #2 CSV'!$A:$FF, 2, D88):INDEX('Capture #2 CSV'!$A:$FF, Capture2_Length, D88))+1, ""))</f>
        <v/>
      </c>
      <c r="H88" s="26" t="str">
        <f>IF(K87="", "", IF(ISNUMBER(E88), Capture3_Length-COUNTA(INDEX('Capture #3 CSV'!$A:$FF, 2, E88):INDEX('Capture #3 CSV'!$A:$FF, Capture3_Length, E88))+1, ""))</f>
        <v/>
      </c>
      <c r="I88" s="26" t="str">
        <f>IFERROR(IF(I87="", "", AVERAGE(INDEX('Capture #1 CSV'!$A:$FF, Backend!F88, Backend!C88):INDEX('Capture #1 CSV'!$A:$FF, Capture1_Length, Backend!C88))), "")</f>
        <v/>
      </c>
      <c r="J88" s="26" t="str">
        <f>IFERROR(IF(J87="", "", AVERAGE(INDEX('Capture #2 CSV'!$A:$FF, Backend!G88, Backend!D88):INDEX('Capture #2 CSV'!$A:$FF, Capture2_Length, Backend!D88))), "")</f>
        <v/>
      </c>
      <c r="K88" s="26" t="str">
        <f>IFERROR(IF(K87="", "", AVERAGE(INDEX('Capture #3 CSV'!$A:$FF, Backend!H88, Backend!E88):INDEX('Capture #3 CSV'!$A:$FF, Capture3_Length, Backend!E88))), "")</f>
        <v/>
      </c>
    </row>
    <row r="89" spans="1:11" x14ac:dyDescent="0.25">
      <c r="A89" s="2" t="s">
        <v>31</v>
      </c>
      <c r="B89" s="30" t="s">
        <v>98</v>
      </c>
      <c r="C89" s="23" t="str">
        <f>IFERROR(IF(I88="", "", MATCH($B89, 'Capture #1 CSV'!$1:$1, 0)), "")</f>
        <v/>
      </c>
      <c r="D89" s="23" t="str">
        <f>IFERROR(IF(J88="", "", MATCH($B89, 'Capture #2 CSV'!$1:$1, 0)), "")</f>
        <v/>
      </c>
      <c r="E89" s="23" t="str">
        <f>IFERROR(IF(K88="", "", MATCH($B89, 'Capture #3 CSV'!$1:$1, 0)), "")</f>
        <v/>
      </c>
      <c r="F89" s="26" t="str">
        <f>IF(I88="", "", IF(ISNUMBER(C89), Capture1_Length-COUNTA(INDEX('Capture #1 CSV'!$A:$FF, 2, C89):INDEX('Capture #1 CSV'!$A:$FF, Capture1_Length, C89))+1, ""))</f>
        <v/>
      </c>
      <c r="G89" s="26" t="str">
        <f>IF(J88="", "", IF(ISNUMBER(D89), Capture2_Length-COUNTA(INDEX('Capture #2 CSV'!$A:$FF, 2, D89):INDEX('Capture #2 CSV'!$A:$FF, Capture2_Length, D89))+1, ""))</f>
        <v/>
      </c>
      <c r="H89" s="26" t="str">
        <f>IF(K88="", "", IF(ISNUMBER(E89), Capture3_Length-COUNTA(INDEX('Capture #3 CSV'!$A:$FF, 2, E89):INDEX('Capture #3 CSV'!$A:$FF, Capture3_Length, E89))+1, ""))</f>
        <v/>
      </c>
      <c r="I89" s="26" t="str">
        <f>IFERROR(IF(I88="", "", AVERAGE(INDEX('Capture #1 CSV'!$A:$FF, Backend!F89, Backend!C89):INDEX('Capture #1 CSV'!$A:$FF, Capture1_Length, Backend!C89))), "")</f>
        <v/>
      </c>
      <c r="J89" s="26" t="str">
        <f>IFERROR(IF(J88="", "", AVERAGE(INDEX('Capture #2 CSV'!$A:$FF, Backend!G89, Backend!D89):INDEX('Capture #2 CSV'!$A:$FF, Capture2_Length, Backend!D89))), "")</f>
        <v/>
      </c>
      <c r="K89" s="26" t="str">
        <f>IFERROR(IF(K88="", "", AVERAGE(INDEX('Capture #3 CSV'!$A:$FF, Backend!H89, Backend!E89):INDEX('Capture #3 CSV'!$A:$FF, Capture3_Length, Backend!E89))), "")</f>
        <v/>
      </c>
    </row>
    <row r="90" spans="1:11" x14ac:dyDescent="0.25">
      <c r="A90" s="2" t="s">
        <v>32</v>
      </c>
      <c r="B90" s="30" t="s">
        <v>99</v>
      </c>
      <c r="C90" s="23" t="str">
        <f>IFERROR(IF(I89="", "", MATCH($B90, 'Capture #1 CSV'!$1:$1, 0)), "")</f>
        <v/>
      </c>
      <c r="D90" s="23" t="str">
        <f>IFERROR(IF(J89="", "", MATCH($B90, 'Capture #2 CSV'!$1:$1, 0)), "")</f>
        <v/>
      </c>
      <c r="E90" s="23" t="str">
        <f>IFERROR(IF(K89="", "", MATCH($B90, 'Capture #3 CSV'!$1:$1, 0)), "")</f>
        <v/>
      </c>
      <c r="F90" s="26" t="str">
        <f>IF(I89="", "", IF(ISNUMBER(C90), Capture1_Length-COUNTA(INDEX('Capture #1 CSV'!$A:$FF, 2, C90):INDEX('Capture #1 CSV'!$A:$FF, Capture1_Length, C90))+1, ""))</f>
        <v/>
      </c>
      <c r="G90" s="26" t="str">
        <f>IF(J89="", "", IF(ISNUMBER(D90), Capture2_Length-COUNTA(INDEX('Capture #2 CSV'!$A:$FF, 2, D90):INDEX('Capture #2 CSV'!$A:$FF, Capture2_Length, D90))+1, ""))</f>
        <v/>
      </c>
      <c r="H90" s="26" t="str">
        <f>IF(K89="", "", IF(ISNUMBER(E90), Capture3_Length-COUNTA(INDEX('Capture #3 CSV'!$A:$FF, 2, E90):INDEX('Capture #3 CSV'!$A:$FF, Capture3_Length, E90))+1, ""))</f>
        <v/>
      </c>
      <c r="I90" s="26" t="str">
        <f>IFERROR(IF(I89="", "", AVERAGE(INDEX('Capture #1 CSV'!$A:$FF, Backend!F90, Backend!C90):INDEX('Capture #1 CSV'!$A:$FF, Capture1_Length, Backend!C90))), "")</f>
        <v/>
      </c>
      <c r="J90" s="26" t="str">
        <f>IFERROR(IF(J89="", "", AVERAGE(INDEX('Capture #2 CSV'!$A:$FF, Backend!G90, Backend!D90):INDEX('Capture #2 CSV'!$A:$FF, Capture2_Length, Backend!D90))), "")</f>
        <v/>
      </c>
      <c r="K90" s="26" t="str">
        <f>IFERROR(IF(K89="", "", AVERAGE(INDEX('Capture #3 CSV'!$A:$FF, Backend!H90, Backend!E90):INDEX('Capture #3 CSV'!$A:$FF, Capture3_Length, Backend!E90))), "")</f>
        <v/>
      </c>
    </row>
    <row r="91" spans="1:11" x14ac:dyDescent="0.25">
      <c r="A91" s="2" t="s">
        <v>33</v>
      </c>
      <c r="B91" s="30" t="s">
        <v>100</v>
      </c>
      <c r="C91" s="23" t="str">
        <f>IFERROR(IF(I90="", "", MATCH($B91, 'Capture #1 CSV'!$1:$1, 0)), "")</f>
        <v/>
      </c>
      <c r="D91" s="23" t="str">
        <f>IFERROR(IF(J90="", "", MATCH($B91, 'Capture #2 CSV'!$1:$1, 0)), "")</f>
        <v/>
      </c>
      <c r="E91" s="23" t="str">
        <f>IFERROR(IF(K90="", "", MATCH($B91, 'Capture #3 CSV'!$1:$1, 0)), "")</f>
        <v/>
      </c>
      <c r="F91" s="26" t="str">
        <f>IF(I90="", "", IF(ISNUMBER(C91), Capture1_Length-COUNTA(INDEX('Capture #1 CSV'!$A:$FF, 2, C91):INDEX('Capture #1 CSV'!$A:$FF, Capture1_Length, C91))+1, ""))</f>
        <v/>
      </c>
      <c r="G91" s="26" t="str">
        <f>IF(J90="", "", IF(ISNUMBER(D91), Capture2_Length-COUNTA(INDEX('Capture #2 CSV'!$A:$FF, 2, D91):INDEX('Capture #2 CSV'!$A:$FF, Capture2_Length, D91))+1, ""))</f>
        <v/>
      </c>
      <c r="H91" s="26" t="str">
        <f>IF(K90="", "", IF(ISNUMBER(E91), Capture3_Length-COUNTA(INDEX('Capture #3 CSV'!$A:$FF, 2, E91):INDEX('Capture #3 CSV'!$A:$FF, Capture3_Length, E91))+1, ""))</f>
        <v/>
      </c>
      <c r="I91" s="26" t="str">
        <f>IFERROR(IF(I90="", "", AVERAGE(INDEX('Capture #1 CSV'!$A:$FF, Backend!F91, Backend!C91):INDEX('Capture #1 CSV'!$A:$FF, Capture1_Length, Backend!C91))), "")</f>
        <v/>
      </c>
      <c r="J91" s="26" t="str">
        <f>IFERROR(IF(J90="", "", AVERAGE(INDEX('Capture #2 CSV'!$A:$FF, Backend!G91, Backend!D91):INDEX('Capture #2 CSV'!$A:$FF, Capture2_Length, Backend!D91))), "")</f>
        <v/>
      </c>
      <c r="K91" s="26" t="str">
        <f>IFERROR(IF(K90="", "", AVERAGE(INDEX('Capture #3 CSV'!$A:$FF, Backend!H91, Backend!E91):INDEX('Capture #3 CSV'!$A:$FF, Capture3_Length, Backend!E91))), "")</f>
        <v/>
      </c>
    </row>
    <row r="92" spans="1:11" x14ac:dyDescent="0.25">
      <c r="A92" s="2" t="s">
        <v>34</v>
      </c>
      <c r="B92" s="30" t="s">
        <v>101</v>
      </c>
      <c r="C92" s="23" t="str">
        <f>IFERROR(IF(I91="", "", MATCH($B92, 'Capture #1 CSV'!$1:$1, 0)), "")</f>
        <v/>
      </c>
      <c r="D92" s="23" t="str">
        <f>IFERROR(IF(J91="", "", MATCH($B92, 'Capture #2 CSV'!$1:$1, 0)), "")</f>
        <v/>
      </c>
      <c r="E92" s="23" t="str">
        <f>IFERROR(IF(K91="", "", MATCH($B92, 'Capture #3 CSV'!$1:$1, 0)), "")</f>
        <v/>
      </c>
      <c r="F92" s="26" t="str">
        <f>IF(I91="", "", IF(ISNUMBER(C92), Capture1_Length-COUNTA(INDEX('Capture #1 CSV'!$A:$FF, 2, C92):INDEX('Capture #1 CSV'!$A:$FF, Capture1_Length, C92))+1, ""))</f>
        <v/>
      </c>
      <c r="G92" s="26" t="str">
        <f>IF(J91="", "", IF(ISNUMBER(D92), Capture2_Length-COUNTA(INDEX('Capture #2 CSV'!$A:$FF, 2, D92):INDEX('Capture #2 CSV'!$A:$FF, Capture2_Length, D92))+1, ""))</f>
        <v/>
      </c>
      <c r="H92" s="26" t="str">
        <f>IF(K91="", "", IF(ISNUMBER(E92), Capture3_Length-COUNTA(INDEX('Capture #3 CSV'!$A:$FF, 2, E92):INDEX('Capture #3 CSV'!$A:$FF, Capture3_Length, E92))+1, ""))</f>
        <v/>
      </c>
      <c r="I92" s="26" t="str">
        <f>IFERROR(IF(I91="", "", AVERAGE(INDEX('Capture #1 CSV'!$A:$FF, Backend!F92, Backend!C92):INDEX('Capture #1 CSV'!$A:$FF, Capture1_Length, Backend!C92))), "")</f>
        <v/>
      </c>
      <c r="J92" s="26" t="str">
        <f>IFERROR(IF(J91="", "", AVERAGE(INDEX('Capture #2 CSV'!$A:$FF, Backend!G92, Backend!D92):INDEX('Capture #2 CSV'!$A:$FF, Capture2_Length, Backend!D92))), "")</f>
        <v/>
      </c>
      <c r="K92" s="26" t="str">
        <f>IFERROR(IF(K91="", "", AVERAGE(INDEX('Capture #3 CSV'!$A:$FF, Backend!H92, Backend!E92):INDEX('Capture #3 CSV'!$A:$FF, Capture3_Length, Backend!E92))), "")</f>
        <v/>
      </c>
    </row>
    <row r="93" spans="1:11" x14ac:dyDescent="0.25">
      <c r="A93" s="2" t="s">
        <v>35</v>
      </c>
      <c r="B93" s="30" t="s">
        <v>102</v>
      </c>
      <c r="C93" s="23" t="str">
        <f>IFERROR(IF(I92="", "", MATCH($B93, 'Capture #1 CSV'!$1:$1, 0)), "")</f>
        <v/>
      </c>
      <c r="D93" s="23" t="str">
        <f>IFERROR(IF(J92="", "", MATCH($B93, 'Capture #2 CSV'!$1:$1, 0)), "")</f>
        <v/>
      </c>
      <c r="E93" s="23" t="str">
        <f>IFERROR(IF(K92="", "", MATCH($B93, 'Capture #3 CSV'!$1:$1, 0)), "")</f>
        <v/>
      </c>
      <c r="F93" s="26" t="str">
        <f>IF(I92="", "", IF(ISNUMBER(C93), Capture1_Length-COUNTA(INDEX('Capture #1 CSV'!$A:$FF, 2, C93):INDEX('Capture #1 CSV'!$A:$FF, Capture1_Length, C93))+1, ""))</f>
        <v/>
      </c>
      <c r="G93" s="26" t="str">
        <f>IF(J92="", "", IF(ISNUMBER(D93), Capture2_Length-COUNTA(INDEX('Capture #2 CSV'!$A:$FF, 2, D93):INDEX('Capture #2 CSV'!$A:$FF, Capture2_Length, D93))+1, ""))</f>
        <v/>
      </c>
      <c r="H93" s="26" t="str">
        <f>IF(K92="", "", IF(ISNUMBER(E93), Capture3_Length-COUNTA(INDEX('Capture #3 CSV'!$A:$FF, 2, E93):INDEX('Capture #3 CSV'!$A:$FF, Capture3_Length, E93))+1, ""))</f>
        <v/>
      </c>
      <c r="I93" s="26" t="str">
        <f>IFERROR(IF(I92="", "", AVERAGE(INDEX('Capture #1 CSV'!$A:$FF, Backend!F93, Backend!C93):INDEX('Capture #1 CSV'!$A:$FF, Capture1_Length, Backend!C93))), "")</f>
        <v/>
      </c>
      <c r="J93" s="26" t="str">
        <f>IFERROR(IF(J92="", "", AVERAGE(INDEX('Capture #2 CSV'!$A:$FF, Backend!G93, Backend!D93):INDEX('Capture #2 CSV'!$A:$FF, Capture2_Length, Backend!D93))), "")</f>
        <v/>
      </c>
      <c r="K93" s="26" t="str">
        <f>IFERROR(IF(K92="", "", AVERAGE(INDEX('Capture #3 CSV'!$A:$FF, Backend!H93, Backend!E93):INDEX('Capture #3 CSV'!$A:$FF, Capture3_Length, Backend!E93))), "")</f>
        <v/>
      </c>
    </row>
    <row r="94" spans="1:11" x14ac:dyDescent="0.25">
      <c r="A94" s="2" t="s">
        <v>36</v>
      </c>
      <c r="B94" s="30" t="s">
        <v>103</v>
      </c>
      <c r="C94" s="23" t="str">
        <f>IFERROR(IF(I93="", "", MATCH($B94, 'Capture #1 CSV'!$1:$1, 0)), "")</f>
        <v/>
      </c>
      <c r="D94" s="23" t="str">
        <f>IFERROR(IF(J93="", "", MATCH($B94, 'Capture #2 CSV'!$1:$1, 0)), "")</f>
        <v/>
      </c>
      <c r="E94" s="23" t="str">
        <f>IFERROR(IF(K93="", "", MATCH($B94, 'Capture #3 CSV'!$1:$1, 0)), "")</f>
        <v/>
      </c>
      <c r="F94" s="26" t="str">
        <f>IF(I93="", "", IF(ISNUMBER(C94), Capture1_Length-COUNTA(INDEX('Capture #1 CSV'!$A:$FF, 2, C94):INDEX('Capture #1 CSV'!$A:$FF, Capture1_Length, C94))+1, ""))</f>
        <v/>
      </c>
      <c r="G94" s="26" t="str">
        <f>IF(J93="", "", IF(ISNUMBER(D94), Capture2_Length-COUNTA(INDEX('Capture #2 CSV'!$A:$FF, 2, D94):INDEX('Capture #2 CSV'!$A:$FF, Capture2_Length, D94))+1, ""))</f>
        <v/>
      </c>
      <c r="H94" s="26" t="str">
        <f>IF(K93="", "", IF(ISNUMBER(E94), Capture3_Length-COUNTA(INDEX('Capture #3 CSV'!$A:$FF, 2, E94):INDEX('Capture #3 CSV'!$A:$FF, Capture3_Length, E94))+1, ""))</f>
        <v/>
      </c>
      <c r="I94" s="26" t="str">
        <f>IFERROR(IF(I93="", "", AVERAGE(INDEX('Capture #1 CSV'!$A:$FF, Backend!F94, Backend!C94):INDEX('Capture #1 CSV'!$A:$FF, Capture1_Length, Backend!C94))), "")</f>
        <v/>
      </c>
      <c r="J94" s="26" t="str">
        <f>IFERROR(IF(J93="", "", AVERAGE(INDEX('Capture #2 CSV'!$A:$FF, Backend!G94, Backend!D94):INDEX('Capture #2 CSV'!$A:$FF, Capture2_Length, Backend!D94))), "")</f>
        <v/>
      </c>
      <c r="K94" s="26" t="str">
        <f>IFERROR(IF(K93="", "", AVERAGE(INDEX('Capture #3 CSV'!$A:$FF, Backend!H94, Backend!E94):INDEX('Capture #3 CSV'!$A:$FF, Capture3_Length, Backend!E94))), "")</f>
        <v/>
      </c>
    </row>
    <row r="95" spans="1:11" x14ac:dyDescent="0.25">
      <c r="A95" s="2" t="s">
        <v>37</v>
      </c>
      <c r="B95" s="30" t="s">
        <v>104</v>
      </c>
      <c r="C95" s="23" t="str">
        <f>IFERROR(IF(I94="", "", MATCH($B95, 'Capture #1 CSV'!$1:$1, 0)), "")</f>
        <v/>
      </c>
      <c r="D95" s="23" t="str">
        <f>IFERROR(IF(J94="", "", MATCH($B95, 'Capture #2 CSV'!$1:$1, 0)), "")</f>
        <v/>
      </c>
      <c r="E95" s="23" t="str">
        <f>IFERROR(IF(K94="", "", MATCH($B95, 'Capture #3 CSV'!$1:$1, 0)), "")</f>
        <v/>
      </c>
      <c r="F95" s="26" t="str">
        <f>IF(I94="", "", IF(ISNUMBER(C95), Capture1_Length-COUNTA(INDEX('Capture #1 CSV'!$A:$FF, 2, C95):INDEX('Capture #1 CSV'!$A:$FF, Capture1_Length, C95))+1, ""))</f>
        <v/>
      </c>
      <c r="G95" s="26" t="str">
        <f>IF(J94="", "", IF(ISNUMBER(D95), Capture2_Length-COUNTA(INDEX('Capture #2 CSV'!$A:$FF, 2, D95):INDEX('Capture #2 CSV'!$A:$FF, Capture2_Length, D95))+1, ""))</f>
        <v/>
      </c>
      <c r="H95" s="26" t="str">
        <f>IF(K94="", "", IF(ISNUMBER(E95), Capture3_Length-COUNTA(INDEX('Capture #3 CSV'!$A:$FF, 2, E95):INDEX('Capture #3 CSV'!$A:$FF, Capture3_Length, E95))+1, ""))</f>
        <v/>
      </c>
      <c r="I95" s="26" t="str">
        <f>IFERROR(IF(I94="", "", AVERAGE(INDEX('Capture #1 CSV'!$A:$FF, Backend!F95, Backend!C95):INDEX('Capture #1 CSV'!$A:$FF, Capture1_Length, Backend!C95))), "")</f>
        <v/>
      </c>
      <c r="J95" s="26" t="str">
        <f>IFERROR(IF(J94="", "", AVERAGE(INDEX('Capture #2 CSV'!$A:$FF, Backend!G95, Backend!D95):INDEX('Capture #2 CSV'!$A:$FF, Capture2_Length, Backend!D95))), "")</f>
        <v/>
      </c>
      <c r="K95" s="26" t="str">
        <f>IFERROR(IF(K94="", "", AVERAGE(INDEX('Capture #3 CSV'!$A:$FF, Backend!H95, Backend!E95):INDEX('Capture #3 CSV'!$A:$FF, Capture3_Length, Backend!E95))), "")</f>
        <v/>
      </c>
    </row>
    <row r="96" spans="1:11" x14ac:dyDescent="0.25">
      <c r="A96" s="2" t="s">
        <v>38</v>
      </c>
      <c r="B96" s="30" t="s">
        <v>105</v>
      </c>
      <c r="C96" s="23" t="str">
        <f>IFERROR(IF(I95="", "", MATCH($B96, 'Capture #1 CSV'!$1:$1, 0)), "")</f>
        <v/>
      </c>
      <c r="D96" s="23" t="str">
        <f>IFERROR(IF(J95="", "", MATCH($B96, 'Capture #2 CSV'!$1:$1, 0)), "")</f>
        <v/>
      </c>
      <c r="E96" s="23" t="str">
        <f>IFERROR(IF(K95="", "", MATCH($B96, 'Capture #3 CSV'!$1:$1, 0)), "")</f>
        <v/>
      </c>
      <c r="F96" s="26" t="str">
        <f>IF(I95="", "", IF(ISNUMBER(C96), Capture1_Length-COUNTA(INDEX('Capture #1 CSV'!$A:$FF, 2, C96):INDEX('Capture #1 CSV'!$A:$FF, Capture1_Length, C96))+1, ""))</f>
        <v/>
      </c>
      <c r="G96" s="26" t="str">
        <f>IF(J95="", "", IF(ISNUMBER(D96), Capture2_Length-COUNTA(INDEX('Capture #2 CSV'!$A:$FF, 2, D96):INDEX('Capture #2 CSV'!$A:$FF, Capture2_Length, D96))+1, ""))</f>
        <v/>
      </c>
      <c r="H96" s="26" t="str">
        <f>IF(K95="", "", IF(ISNUMBER(E96), Capture3_Length-COUNTA(INDEX('Capture #3 CSV'!$A:$FF, 2, E96):INDEX('Capture #3 CSV'!$A:$FF, Capture3_Length, E96))+1, ""))</f>
        <v/>
      </c>
      <c r="I96" s="26" t="str">
        <f>IFERROR(IF(I95="", "", AVERAGE(INDEX('Capture #1 CSV'!$A:$FF, Backend!F96, Backend!C96):INDEX('Capture #1 CSV'!$A:$FF, Capture1_Length, Backend!C96))), "")</f>
        <v/>
      </c>
      <c r="J96" s="26" t="str">
        <f>IFERROR(IF(J95="", "", AVERAGE(INDEX('Capture #2 CSV'!$A:$FF, Backend!G96, Backend!D96):INDEX('Capture #2 CSV'!$A:$FF, Capture2_Length, Backend!D96))), "")</f>
        <v/>
      </c>
      <c r="K96" s="26" t="str">
        <f>IFERROR(IF(K95="", "", AVERAGE(INDEX('Capture #3 CSV'!$A:$FF, Backend!H96, Backend!E96):INDEX('Capture #3 CSV'!$A:$FF, Capture3_Length, Backend!E96))), "")</f>
        <v/>
      </c>
    </row>
    <row r="97" spans="1:11" x14ac:dyDescent="0.25">
      <c r="A97" s="2" t="s">
        <v>39</v>
      </c>
      <c r="B97" s="30" t="s">
        <v>106</v>
      </c>
      <c r="C97" s="23" t="str">
        <f>IFERROR(IF(I96="", "", MATCH($B97, 'Capture #1 CSV'!$1:$1, 0)), "")</f>
        <v/>
      </c>
      <c r="D97" s="23" t="str">
        <f>IFERROR(IF(J96="", "", MATCH($B97, 'Capture #2 CSV'!$1:$1, 0)), "")</f>
        <v/>
      </c>
      <c r="E97" s="23" t="str">
        <f>IFERROR(IF(K96="", "", MATCH($B97, 'Capture #3 CSV'!$1:$1, 0)), "")</f>
        <v/>
      </c>
      <c r="F97" s="26" t="str">
        <f>IF(I96="", "", IF(ISNUMBER(C97), Capture1_Length-COUNTA(INDEX('Capture #1 CSV'!$A:$FF, 2, C97):INDEX('Capture #1 CSV'!$A:$FF, Capture1_Length, C97))+1, ""))</f>
        <v/>
      </c>
      <c r="G97" s="26" t="str">
        <f>IF(J96="", "", IF(ISNUMBER(D97), Capture2_Length-COUNTA(INDEX('Capture #2 CSV'!$A:$FF, 2, D97):INDEX('Capture #2 CSV'!$A:$FF, Capture2_Length, D97))+1, ""))</f>
        <v/>
      </c>
      <c r="H97" s="26" t="str">
        <f>IF(K96="", "", IF(ISNUMBER(E97), Capture3_Length-COUNTA(INDEX('Capture #3 CSV'!$A:$FF, 2, E97):INDEX('Capture #3 CSV'!$A:$FF, Capture3_Length, E97))+1, ""))</f>
        <v/>
      </c>
      <c r="I97" s="26" t="str">
        <f>IFERROR(IF(I96="", "", AVERAGE(INDEX('Capture #1 CSV'!$A:$FF, Backend!F97, Backend!C97):INDEX('Capture #1 CSV'!$A:$FF, Capture1_Length, Backend!C97))), "")</f>
        <v/>
      </c>
      <c r="J97" s="26" t="str">
        <f>IFERROR(IF(J96="", "", AVERAGE(INDEX('Capture #2 CSV'!$A:$FF, Backend!G97, Backend!D97):INDEX('Capture #2 CSV'!$A:$FF, Capture2_Length, Backend!D97))), "")</f>
        <v/>
      </c>
      <c r="K97" s="26" t="str">
        <f>IFERROR(IF(K96="", "", AVERAGE(INDEX('Capture #3 CSV'!$A:$FF, Backend!H97, Backend!E97):INDEX('Capture #3 CSV'!$A:$FF, Capture3_Length, Backend!E97))), "")</f>
        <v/>
      </c>
    </row>
    <row r="98" spans="1:11" x14ac:dyDescent="0.25">
      <c r="A98" s="2" t="s">
        <v>40</v>
      </c>
      <c r="B98" s="30" t="s">
        <v>107</v>
      </c>
      <c r="C98" s="23" t="str">
        <f>IFERROR(IF(I97="", "", MATCH($B98, 'Capture #1 CSV'!$1:$1, 0)), "")</f>
        <v/>
      </c>
      <c r="D98" s="23" t="str">
        <f>IFERROR(IF(J97="", "", MATCH($B98, 'Capture #2 CSV'!$1:$1, 0)), "")</f>
        <v/>
      </c>
      <c r="E98" s="23" t="str">
        <f>IFERROR(IF(K97="", "", MATCH($B98, 'Capture #3 CSV'!$1:$1, 0)), "")</f>
        <v/>
      </c>
      <c r="F98" s="26" t="str">
        <f>IF(I97="", "", IF(ISNUMBER(C98), Capture1_Length-COUNTA(INDEX('Capture #1 CSV'!$A:$FF, 2, C98):INDEX('Capture #1 CSV'!$A:$FF, Capture1_Length, C98))+1, ""))</f>
        <v/>
      </c>
      <c r="G98" s="26" t="str">
        <f>IF(J97="", "", IF(ISNUMBER(D98), Capture2_Length-COUNTA(INDEX('Capture #2 CSV'!$A:$FF, 2, D98):INDEX('Capture #2 CSV'!$A:$FF, Capture2_Length, D98))+1, ""))</f>
        <v/>
      </c>
      <c r="H98" s="26" t="str">
        <f>IF(K97="", "", IF(ISNUMBER(E98), Capture3_Length-COUNTA(INDEX('Capture #3 CSV'!$A:$FF, 2, E98):INDEX('Capture #3 CSV'!$A:$FF, Capture3_Length, E98))+1, ""))</f>
        <v/>
      </c>
      <c r="I98" s="26" t="str">
        <f>IFERROR(IF(I97="", "", AVERAGE(INDEX('Capture #1 CSV'!$A:$FF, Backend!F98, Backend!C98):INDEX('Capture #1 CSV'!$A:$FF, Capture1_Length, Backend!C98))), "")</f>
        <v/>
      </c>
      <c r="J98" s="26" t="str">
        <f>IFERROR(IF(J97="", "", AVERAGE(INDEX('Capture #2 CSV'!$A:$FF, Backend!G98, Backend!D98):INDEX('Capture #2 CSV'!$A:$FF, Capture2_Length, Backend!D98))), "")</f>
        <v/>
      </c>
      <c r="K98" s="26" t="str">
        <f>IFERROR(IF(K97="", "", AVERAGE(INDEX('Capture #3 CSV'!$A:$FF, Backend!H98, Backend!E98):INDEX('Capture #3 CSV'!$A:$FF, Capture3_Length, Backend!E98))), "")</f>
        <v/>
      </c>
    </row>
    <row r="99" spans="1:11" x14ac:dyDescent="0.25">
      <c r="A99" s="2" t="s">
        <v>41</v>
      </c>
      <c r="B99" s="30" t="s">
        <v>108</v>
      </c>
      <c r="C99" s="23" t="str">
        <f>IFERROR(IF(I98="", "", MATCH($B99, 'Capture #1 CSV'!$1:$1, 0)), "")</f>
        <v/>
      </c>
      <c r="D99" s="23" t="str">
        <f>IFERROR(IF(J98="", "", MATCH($B99, 'Capture #2 CSV'!$1:$1, 0)), "")</f>
        <v/>
      </c>
      <c r="E99" s="23" t="str">
        <f>IFERROR(IF(K98="", "", MATCH($B99, 'Capture #3 CSV'!$1:$1, 0)), "")</f>
        <v/>
      </c>
      <c r="F99" s="26" t="str">
        <f>IF(I98="", "", IF(ISNUMBER(C99), Capture1_Length-COUNTA(INDEX('Capture #1 CSV'!$A:$FF, 2, C99):INDEX('Capture #1 CSV'!$A:$FF, Capture1_Length, C99))+1, ""))</f>
        <v/>
      </c>
      <c r="G99" s="26" t="str">
        <f>IF(J98="", "", IF(ISNUMBER(D99), Capture2_Length-COUNTA(INDEX('Capture #2 CSV'!$A:$FF, 2, D99):INDEX('Capture #2 CSV'!$A:$FF, Capture2_Length, D99))+1, ""))</f>
        <v/>
      </c>
      <c r="H99" s="26" t="str">
        <f>IF(K98="", "", IF(ISNUMBER(E99), Capture3_Length-COUNTA(INDEX('Capture #3 CSV'!$A:$FF, 2, E99):INDEX('Capture #3 CSV'!$A:$FF, Capture3_Length, E99))+1, ""))</f>
        <v/>
      </c>
      <c r="I99" s="26" t="str">
        <f>IFERROR(IF(I98="", "", AVERAGE(INDEX('Capture #1 CSV'!$A:$FF, Backend!F99, Backend!C99):INDEX('Capture #1 CSV'!$A:$FF, Capture1_Length, Backend!C99))), "")</f>
        <v/>
      </c>
      <c r="J99" s="26" t="str">
        <f>IFERROR(IF(J98="", "", AVERAGE(INDEX('Capture #2 CSV'!$A:$FF, Backend!G99, Backend!D99):INDEX('Capture #2 CSV'!$A:$FF, Capture2_Length, Backend!D99))), "")</f>
        <v/>
      </c>
      <c r="K99" s="26" t="str">
        <f>IFERROR(IF(K98="", "", AVERAGE(INDEX('Capture #3 CSV'!$A:$FF, Backend!H99, Backend!E99):INDEX('Capture #3 CSV'!$A:$FF, Capture3_Length, Backend!E99))), "")</f>
        <v/>
      </c>
    </row>
    <row r="100" spans="1:11" x14ac:dyDescent="0.25">
      <c r="A100" s="2" t="s">
        <v>42</v>
      </c>
      <c r="B100" s="30" t="s">
        <v>109</v>
      </c>
      <c r="C100" s="23" t="str">
        <f>IFERROR(IF(I99="", "", MATCH($B100, 'Capture #1 CSV'!$1:$1, 0)), "")</f>
        <v/>
      </c>
      <c r="D100" s="23" t="str">
        <f>IFERROR(IF(J99="", "", MATCH($B100, 'Capture #2 CSV'!$1:$1, 0)), "")</f>
        <v/>
      </c>
      <c r="E100" s="23" t="str">
        <f>IFERROR(IF(K99="", "", MATCH($B100, 'Capture #3 CSV'!$1:$1, 0)), "")</f>
        <v/>
      </c>
      <c r="F100" s="26" t="str">
        <f>IF(I99="", "", IF(ISNUMBER(C100), Capture1_Length-COUNTA(INDEX('Capture #1 CSV'!$A:$FF, 2, C100):INDEX('Capture #1 CSV'!$A:$FF, Capture1_Length, C100))+1, ""))</f>
        <v/>
      </c>
      <c r="G100" s="26" t="str">
        <f>IF(J99="", "", IF(ISNUMBER(D100), Capture2_Length-COUNTA(INDEX('Capture #2 CSV'!$A:$FF, 2, D100):INDEX('Capture #2 CSV'!$A:$FF, Capture2_Length, D100))+1, ""))</f>
        <v/>
      </c>
      <c r="H100" s="26" t="str">
        <f>IF(K99="", "", IF(ISNUMBER(E100), Capture3_Length-COUNTA(INDEX('Capture #3 CSV'!$A:$FF, 2, E100):INDEX('Capture #3 CSV'!$A:$FF, Capture3_Length, E100))+1, ""))</f>
        <v/>
      </c>
      <c r="I100" s="26" t="str">
        <f>IFERROR(IF(I99="", "", AVERAGE(INDEX('Capture #1 CSV'!$A:$FF, Backend!F100, Backend!C100):INDEX('Capture #1 CSV'!$A:$FF, Capture1_Length, Backend!C100))), "")</f>
        <v/>
      </c>
      <c r="J100" s="26" t="str">
        <f>IFERROR(IF(J99="", "", AVERAGE(INDEX('Capture #2 CSV'!$A:$FF, Backend!G100, Backend!D100):INDEX('Capture #2 CSV'!$A:$FF, Capture2_Length, Backend!D100))), "")</f>
        <v/>
      </c>
      <c r="K100" s="26" t="str">
        <f>IFERROR(IF(K99="", "", AVERAGE(INDEX('Capture #3 CSV'!$A:$FF, Backend!H100, Backend!E100):INDEX('Capture #3 CSV'!$A:$FF, Capture3_Length, Backend!E100))), "")</f>
        <v/>
      </c>
    </row>
    <row r="101" spans="1:11" x14ac:dyDescent="0.25">
      <c r="A101" s="2" t="s">
        <v>43</v>
      </c>
      <c r="B101" s="30" t="s">
        <v>110</v>
      </c>
      <c r="C101" s="23" t="str">
        <f>IFERROR(IF(I100="", "", MATCH($B101, 'Capture #1 CSV'!$1:$1, 0)), "")</f>
        <v/>
      </c>
      <c r="D101" s="23" t="str">
        <f>IFERROR(IF(J100="", "", MATCH($B101, 'Capture #2 CSV'!$1:$1, 0)), "")</f>
        <v/>
      </c>
      <c r="E101" s="23" t="str">
        <f>IFERROR(IF(K100="", "", MATCH($B101, 'Capture #3 CSV'!$1:$1, 0)), "")</f>
        <v/>
      </c>
      <c r="F101" s="26" t="str">
        <f>IF(I100="", "", IF(ISNUMBER(C101), Capture1_Length-COUNTA(INDEX('Capture #1 CSV'!$A:$FF, 2, C101):INDEX('Capture #1 CSV'!$A:$FF, Capture1_Length, C101))+1, ""))</f>
        <v/>
      </c>
      <c r="G101" s="26" t="str">
        <f>IF(J100="", "", IF(ISNUMBER(D101), Capture2_Length-COUNTA(INDEX('Capture #2 CSV'!$A:$FF, 2, D101):INDEX('Capture #2 CSV'!$A:$FF, Capture2_Length, D101))+1, ""))</f>
        <v/>
      </c>
      <c r="H101" s="26" t="str">
        <f>IF(K100="", "", IF(ISNUMBER(E101), Capture3_Length-COUNTA(INDEX('Capture #3 CSV'!$A:$FF, 2, E101):INDEX('Capture #3 CSV'!$A:$FF, Capture3_Length, E101))+1, ""))</f>
        <v/>
      </c>
      <c r="I101" s="26" t="str">
        <f>IFERROR(IF(I100="", "", AVERAGE(INDEX('Capture #1 CSV'!$A:$FF, Backend!F101, Backend!C101):INDEX('Capture #1 CSV'!$A:$FF, Capture1_Length, Backend!C101))), "")</f>
        <v/>
      </c>
      <c r="J101" s="26" t="str">
        <f>IFERROR(IF(J100="", "", AVERAGE(INDEX('Capture #2 CSV'!$A:$FF, Backend!G101, Backend!D101):INDEX('Capture #2 CSV'!$A:$FF, Capture2_Length, Backend!D101))), "")</f>
        <v/>
      </c>
      <c r="K101" s="26" t="str">
        <f>IFERROR(IF(K100="", "", AVERAGE(INDEX('Capture #3 CSV'!$A:$FF, Backend!H101, Backend!E101):INDEX('Capture #3 CSV'!$A:$FF, Capture3_Length, Backend!E101))), "")</f>
        <v/>
      </c>
    </row>
    <row r="102" spans="1:11" x14ac:dyDescent="0.25">
      <c r="A102" s="2" t="s">
        <v>44</v>
      </c>
      <c r="B102" s="30" t="s">
        <v>111</v>
      </c>
      <c r="C102" s="23" t="str">
        <f>IFERROR(IF(I101="", "", MATCH($B102, 'Capture #1 CSV'!$1:$1, 0)), "")</f>
        <v/>
      </c>
      <c r="D102" s="23" t="str">
        <f>IFERROR(IF(J101="", "", MATCH($B102, 'Capture #2 CSV'!$1:$1, 0)), "")</f>
        <v/>
      </c>
      <c r="E102" s="23" t="str">
        <f>IFERROR(IF(K101="", "", MATCH($B102, 'Capture #3 CSV'!$1:$1, 0)), "")</f>
        <v/>
      </c>
      <c r="F102" s="26" t="str">
        <f>IF(I101="", "", IF(ISNUMBER(C102), Capture1_Length-COUNTA(INDEX('Capture #1 CSV'!$A:$FF, 2, C102):INDEX('Capture #1 CSV'!$A:$FF, Capture1_Length, C102))+1, ""))</f>
        <v/>
      </c>
      <c r="G102" s="26" t="str">
        <f>IF(J101="", "", IF(ISNUMBER(D102), Capture2_Length-COUNTA(INDEX('Capture #2 CSV'!$A:$FF, 2, D102):INDEX('Capture #2 CSV'!$A:$FF, Capture2_Length, D102))+1, ""))</f>
        <v/>
      </c>
      <c r="H102" s="26" t="str">
        <f>IF(K101="", "", IF(ISNUMBER(E102), Capture3_Length-COUNTA(INDEX('Capture #3 CSV'!$A:$FF, 2, E102):INDEX('Capture #3 CSV'!$A:$FF, Capture3_Length, E102))+1, ""))</f>
        <v/>
      </c>
      <c r="I102" s="26" t="str">
        <f>IFERROR(IF(I101="", "", AVERAGE(INDEX('Capture #1 CSV'!$A:$FF, Backend!F102, Backend!C102):INDEX('Capture #1 CSV'!$A:$FF, Capture1_Length, Backend!C102))), "")</f>
        <v/>
      </c>
      <c r="J102" s="26" t="str">
        <f>IFERROR(IF(J101="", "", AVERAGE(INDEX('Capture #2 CSV'!$A:$FF, Backend!G102, Backend!D102):INDEX('Capture #2 CSV'!$A:$FF, Capture2_Length, Backend!D102))), "")</f>
        <v/>
      </c>
      <c r="K102" s="26" t="str">
        <f>IFERROR(IF(K101="", "", AVERAGE(INDEX('Capture #3 CSV'!$A:$FF, Backend!H102, Backend!E102):INDEX('Capture #3 CSV'!$A:$FF, Capture3_Length, Backend!E102))), "")</f>
        <v/>
      </c>
    </row>
    <row r="103" spans="1:11" x14ac:dyDescent="0.25">
      <c r="A103" s="2" t="s">
        <v>45</v>
      </c>
      <c r="B103" s="30" t="s">
        <v>112</v>
      </c>
      <c r="C103" s="23" t="str">
        <f>IFERROR(IF(I102="", "", MATCH($B103, 'Capture #1 CSV'!$1:$1, 0)), "")</f>
        <v/>
      </c>
      <c r="D103" s="23" t="str">
        <f>IFERROR(IF(J102="", "", MATCH($B103, 'Capture #2 CSV'!$1:$1, 0)), "")</f>
        <v/>
      </c>
      <c r="E103" s="23" t="str">
        <f>IFERROR(IF(K102="", "", MATCH($B103, 'Capture #3 CSV'!$1:$1, 0)), "")</f>
        <v/>
      </c>
      <c r="F103" s="26" t="str">
        <f>IF(I102="", "", IF(ISNUMBER(C103), Capture1_Length-COUNTA(INDEX('Capture #1 CSV'!$A:$FF, 2, C103):INDEX('Capture #1 CSV'!$A:$FF, Capture1_Length, C103))+1, ""))</f>
        <v/>
      </c>
      <c r="G103" s="26" t="str">
        <f>IF(J102="", "", IF(ISNUMBER(D103), Capture2_Length-COUNTA(INDEX('Capture #2 CSV'!$A:$FF, 2, D103):INDEX('Capture #2 CSV'!$A:$FF, Capture2_Length, D103))+1, ""))</f>
        <v/>
      </c>
      <c r="H103" s="26" t="str">
        <f>IF(K102="", "", IF(ISNUMBER(E103), Capture3_Length-COUNTA(INDEX('Capture #3 CSV'!$A:$FF, 2, E103):INDEX('Capture #3 CSV'!$A:$FF, Capture3_Length, E103))+1, ""))</f>
        <v/>
      </c>
      <c r="I103" s="26" t="str">
        <f>IFERROR(IF(I102="", "", AVERAGE(INDEX('Capture #1 CSV'!$A:$FF, Backend!F103, Backend!C103):INDEX('Capture #1 CSV'!$A:$FF, Capture1_Length, Backend!C103))), "")</f>
        <v/>
      </c>
      <c r="J103" s="26" t="str">
        <f>IFERROR(IF(J102="", "", AVERAGE(INDEX('Capture #2 CSV'!$A:$FF, Backend!G103, Backend!D103):INDEX('Capture #2 CSV'!$A:$FF, Capture2_Length, Backend!D103))), "")</f>
        <v/>
      </c>
      <c r="K103" s="26" t="str">
        <f>IFERROR(IF(K102="", "", AVERAGE(INDEX('Capture #3 CSV'!$A:$FF, Backend!H103, Backend!E103):INDEX('Capture #3 CSV'!$A:$FF, Capture3_Length, Backend!E103))), "")</f>
        <v/>
      </c>
    </row>
    <row r="104" spans="1:11" x14ac:dyDescent="0.25">
      <c r="A104" s="2" t="s">
        <v>46</v>
      </c>
      <c r="B104" s="30" t="s">
        <v>113</v>
      </c>
      <c r="C104" s="23" t="str">
        <f>IFERROR(IF(I103="", "", MATCH($B104, 'Capture #1 CSV'!$1:$1, 0)), "")</f>
        <v/>
      </c>
      <c r="D104" s="23" t="str">
        <f>IFERROR(IF(J103="", "", MATCH($B104, 'Capture #2 CSV'!$1:$1, 0)), "")</f>
        <v/>
      </c>
      <c r="E104" s="23" t="str">
        <f>IFERROR(IF(K103="", "", MATCH($B104, 'Capture #3 CSV'!$1:$1, 0)), "")</f>
        <v/>
      </c>
      <c r="F104" s="26" t="str">
        <f>IF(I103="", "", IF(ISNUMBER(C104), Capture1_Length-COUNTA(INDEX('Capture #1 CSV'!$A:$FF, 2, C104):INDEX('Capture #1 CSV'!$A:$FF, Capture1_Length, C104))+1, ""))</f>
        <v/>
      </c>
      <c r="G104" s="26" t="str">
        <f>IF(J103="", "", IF(ISNUMBER(D104), Capture2_Length-COUNTA(INDEX('Capture #2 CSV'!$A:$FF, 2, D104):INDEX('Capture #2 CSV'!$A:$FF, Capture2_Length, D104))+1, ""))</f>
        <v/>
      </c>
      <c r="H104" s="26" t="str">
        <f>IF(K103="", "", IF(ISNUMBER(E104), Capture3_Length-COUNTA(INDEX('Capture #3 CSV'!$A:$FF, 2, E104):INDEX('Capture #3 CSV'!$A:$FF, Capture3_Length, E104))+1, ""))</f>
        <v/>
      </c>
      <c r="I104" s="26" t="str">
        <f>IFERROR(IF(I103="", "", AVERAGE(INDEX('Capture #1 CSV'!$A:$FF, Backend!F104, Backend!C104):INDEX('Capture #1 CSV'!$A:$FF, Capture1_Length, Backend!C104))), "")</f>
        <v/>
      </c>
      <c r="J104" s="26" t="str">
        <f>IFERROR(IF(J103="", "", AVERAGE(INDEX('Capture #2 CSV'!$A:$FF, Backend!G104, Backend!D104):INDEX('Capture #2 CSV'!$A:$FF, Capture2_Length, Backend!D104))), "")</f>
        <v/>
      </c>
      <c r="K104" s="26" t="str">
        <f>IFERROR(IF(K103="", "", AVERAGE(INDEX('Capture #3 CSV'!$A:$FF, Backend!H104, Backend!E104):INDEX('Capture #3 CSV'!$A:$FF, Capture3_Length, Backend!E104))), "")</f>
        <v/>
      </c>
    </row>
    <row r="105" spans="1:11" x14ac:dyDescent="0.25">
      <c r="A105" s="2" t="s">
        <v>47</v>
      </c>
      <c r="B105" s="30" t="s">
        <v>114</v>
      </c>
      <c r="C105" s="23" t="str">
        <f>IFERROR(IF(I104="", "", MATCH($B105, 'Capture #1 CSV'!$1:$1, 0)), "")</f>
        <v/>
      </c>
      <c r="D105" s="23" t="str">
        <f>IFERROR(IF(J104="", "", MATCH($B105, 'Capture #2 CSV'!$1:$1, 0)), "")</f>
        <v/>
      </c>
      <c r="E105" s="23" t="str">
        <f>IFERROR(IF(K104="", "", MATCH($B105, 'Capture #3 CSV'!$1:$1, 0)), "")</f>
        <v/>
      </c>
      <c r="F105" s="26" t="str">
        <f>IF(I104="", "", IF(ISNUMBER(C105), Capture1_Length-COUNTA(INDEX('Capture #1 CSV'!$A:$FF, 2, C105):INDEX('Capture #1 CSV'!$A:$FF, Capture1_Length, C105))+1, ""))</f>
        <v/>
      </c>
      <c r="G105" s="26" t="str">
        <f>IF(J104="", "", IF(ISNUMBER(D105), Capture2_Length-COUNTA(INDEX('Capture #2 CSV'!$A:$FF, 2, D105):INDEX('Capture #2 CSV'!$A:$FF, Capture2_Length, D105))+1, ""))</f>
        <v/>
      </c>
      <c r="H105" s="26" t="str">
        <f>IF(K104="", "", IF(ISNUMBER(E105), Capture3_Length-COUNTA(INDEX('Capture #3 CSV'!$A:$FF, 2, E105):INDEX('Capture #3 CSV'!$A:$FF, Capture3_Length, E105))+1, ""))</f>
        <v/>
      </c>
      <c r="I105" s="26" t="str">
        <f>IFERROR(IF(I104="", "", AVERAGE(INDEX('Capture #1 CSV'!$A:$FF, Backend!F105, Backend!C105):INDEX('Capture #1 CSV'!$A:$FF, Capture1_Length, Backend!C105))), "")</f>
        <v/>
      </c>
      <c r="J105" s="26" t="str">
        <f>IFERROR(IF(J104="", "", AVERAGE(INDEX('Capture #2 CSV'!$A:$FF, Backend!G105, Backend!D105):INDEX('Capture #2 CSV'!$A:$FF, Capture2_Length, Backend!D105))), "")</f>
        <v/>
      </c>
      <c r="K105" s="26" t="str">
        <f>IFERROR(IF(K104="", "", AVERAGE(INDEX('Capture #3 CSV'!$A:$FF, Backend!H105, Backend!E105):INDEX('Capture #3 CSV'!$A:$FF, Capture3_Length, Backend!E105))), "")</f>
        <v/>
      </c>
    </row>
    <row r="106" spans="1:11" x14ac:dyDescent="0.25">
      <c r="A106" s="2" t="s">
        <v>48</v>
      </c>
      <c r="B106" s="30" t="s">
        <v>115</v>
      </c>
      <c r="C106" s="23" t="str">
        <f>IFERROR(IF(I105="", "", MATCH($B106, 'Capture #1 CSV'!$1:$1, 0)), "")</f>
        <v/>
      </c>
      <c r="D106" s="23" t="str">
        <f>IFERROR(IF(J105="", "", MATCH($B106, 'Capture #2 CSV'!$1:$1, 0)), "")</f>
        <v/>
      </c>
      <c r="E106" s="23" t="str">
        <f>IFERROR(IF(K105="", "", MATCH($B106, 'Capture #3 CSV'!$1:$1, 0)), "")</f>
        <v/>
      </c>
      <c r="F106" s="26" t="str">
        <f>IF(I105="", "", IF(ISNUMBER(C106), Capture1_Length-COUNTA(INDEX('Capture #1 CSV'!$A:$FF, 2, C106):INDEX('Capture #1 CSV'!$A:$FF, Capture1_Length, C106))+1, ""))</f>
        <v/>
      </c>
      <c r="G106" s="26" t="str">
        <f>IF(J105="", "", IF(ISNUMBER(D106), Capture2_Length-COUNTA(INDEX('Capture #2 CSV'!$A:$FF, 2, D106):INDEX('Capture #2 CSV'!$A:$FF, Capture2_Length, D106))+1, ""))</f>
        <v/>
      </c>
      <c r="H106" s="26" t="str">
        <f>IF(K105="", "", IF(ISNUMBER(E106), Capture3_Length-COUNTA(INDEX('Capture #3 CSV'!$A:$FF, 2, E106):INDEX('Capture #3 CSV'!$A:$FF, Capture3_Length, E106))+1, ""))</f>
        <v/>
      </c>
      <c r="I106" s="26" t="str">
        <f>IFERROR(IF(I105="", "", AVERAGE(INDEX('Capture #1 CSV'!$A:$FF, Backend!F106, Backend!C106):INDEX('Capture #1 CSV'!$A:$FF, Capture1_Length, Backend!C106))), "")</f>
        <v/>
      </c>
      <c r="J106" s="26" t="str">
        <f>IFERROR(IF(J105="", "", AVERAGE(INDEX('Capture #2 CSV'!$A:$FF, Backend!G106, Backend!D106):INDEX('Capture #2 CSV'!$A:$FF, Capture2_Length, Backend!D106))), "")</f>
        <v/>
      </c>
      <c r="K106" s="26" t="str">
        <f>IFERROR(IF(K105="", "", AVERAGE(INDEX('Capture #3 CSV'!$A:$FF, Backend!H106, Backend!E106):INDEX('Capture #3 CSV'!$A:$FF, Capture3_Length, Backend!E106))), "")</f>
        <v/>
      </c>
    </row>
    <row r="107" spans="1:11" x14ac:dyDescent="0.25">
      <c r="A107" s="2" t="s">
        <v>49</v>
      </c>
      <c r="B107" s="30" t="s">
        <v>116</v>
      </c>
      <c r="C107" s="23" t="str">
        <f>IFERROR(IF(I106="", "", MATCH($B107, 'Capture #1 CSV'!$1:$1, 0)), "")</f>
        <v/>
      </c>
      <c r="D107" s="23" t="str">
        <f>IFERROR(IF(J106="", "", MATCH($B107, 'Capture #2 CSV'!$1:$1, 0)), "")</f>
        <v/>
      </c>
      <c r="E107" s="23" t="str">
        <f>IFERROR(IF(K106="", "", MATCH($B107, 'Capture #3 CSV'!$1:$1, 0)), "")</f>
        <v/>
      </c>
      <c r="F107" s="26" t="str">
        <f>IF(I106="", "", IF(ISNUMBER(C107), Capture1_Length-COUNTA(INDEX('Capture #1 CSV'!$A:$FF, 2, C107):INDEX('Capture #1 CSV'!$A:$FF, Capture1_Length, C107))+1, ""))</f>
        <v/>
      </c>
      <c r="G107" s="26" t="str">
        <f>IF(J106="", "", IF(ISNUMBER(D107), Capture2_Length-COUNTA(INDEX('Capture #2 CSV'!$A:$FF, 2, D107):INDEX('Capture #2 CSV'!$A:$FF, Capture2_Length, D107))+1, ""))</f>
        <v/>
      </c>
      <c r="H107" s="26" t="str">
        <f>IF(K106="", "", IF(ISNUMBER(E107), Capture3_Length-COUNTA(INDEX('Capture #3 CSV'!$A:$FF, 2, E107):INDEX('Capture #3 CSV'!$A:$FF, Capture3_Length, E107))+1, ""))</f>
        <v/>
      </c>
      <c r="I107" s="26" t="str">
        <f>IFERROR(IF(I106="", "", AVERAGE(INDEX('Capture #1 CSV'!$A:$FF, Backend!F107, Backend!C107):INDEX('Capture #1 CSV'!$A:$FF, Capture1_Length, Backend!C107))), "")</f>
        <v/>
      </c>
      <c r="J107" s="26" t="str">
        <f>IFERROR(IF(J106="", "", AVERAGE(INDEX('Capture #2 CSV'!$A:$FF, Backend!G107, Backend!D107):INDEX('Capture #2 CSV'!$A:$FF, Capture2_Length, Backend!D107))), "")</f>
        <v/>
      </c>
      <c r="K107" s="26" t="str">
        <f>IFERROR(IF(K106="", "", AVERAGE(INDEX('Capture #3 CSV'!$A:$FF, Backend!H107, Backend!E107):INDEX('Capture #3 CSV'!$A:$FF, Capture3_Length, Backend!E107))), "")</f>
        <v/>
      </c>
    </row>
    <row r="108" spans="1:11" x14ac:dyDescent="0.25">
      <c r="A108" s="2" t="s">
        <v>50</v>
      </c>
      <c r="B108" s="30" t="s">
        <v>117</v>
      </c>
      <c r="C108" s="23" t="str">
        <f>IFERROR(IF(I107="", "", MATCH($B108, 'Capture #1 CSV'!$1:$1, 0)), "")</f>
        <v/>
      </c>
      <c r="D108" s="23" t="str">
        <f>IFERROR(IF(J107="", "", MATCH($B108, 'Capture #2 CSV'!$1:$1, 0)), "")</f>
        <v/>
      </c>
      <c r="E108" s="23" t="str">
        <f>IFERROR(IF(K107="", "", MATCH($B108, 'Capture #3 CSV'!$1:$1, 0)), "")</f>
        <v/>
      </c>
      <c r="F108" s="26" t="str">
        <f>IF(I107="", "", IF(ISNUMBER(C108), Capture1_Length-COUNTA(INDEX('Capture #1 CSV'!$A:$FF, 2, C108):INDEX('Capture #1 CSV'!$A:$FF, Capture1_Length, C108))+1, ""))</f>
        <v/>
      </c>
      <c r="G108" s="26" t="str">
        <f>IF(J107="", "", IF(ISNUMBER(D108), Capture2_Length-COUNTA(INDEX('Capture #2 CSV'!$A:$FF, 2, D108):INDEX('Capture #2 CSV'!$A:$FF, Capture2_Length, D108))+1, ""))</f>
        <v/>
      </c>
      <c r="H108" s="26" t="str">
        <f>IF(K107="", "", IF(ISNUMBER(E108), Capture3_Length-COUNTA(INDEX('Capture #3 CSV'!$A:$FF, 2, E108):INDEX('Capture #3 CSV'!$A:$FF, Capture3_Length, E108))+1, ""))</f>
        <v/>
      </c>
      <c r="I108" s="26" t="str">
        <f>IFERROR(IF(I107="", "", AVERAGE(INDEX('Capture #1 CSV'!$A:$FF, Backend!F108, Backend!C108):INDEX('Capture #1 CSV'!$A:$FF, Capture1_Length, Backend!C108))), "")</f>
        <v/>
      </c>
      <c r="J108" s="26" t="str">
        <f>IFERROR(IF(J107="", "", AVERAGE(INDEX('Capture #2 CSV'!$A:$FF, Backend!G108, Backend!D108):INDEX('Capture #2 CSV'!$A:$FF, Capture2_Length, Backend!D108))), "")</f>
        <v/>
      </c>
      <c r="K108" s="26" t="str">
        <f>IFERROR(IF(K107="", "", AVERAGE(INDEX('Capture #3 CSV'!$A:$FF, Backend!H108, Backend!E108):INDEX('Capture #3 CSV'!$A:$FF, Capture3_Length, Backend!E108))), "")</f>
        <v/>
      </c>
    </row>
    <row r="109" spans="1:11" x14ac:dyDescent="0.25">
      <c r="A109" s="2" t="s">
        <v>51</v>
      </c>
      <c r="B109" s="30" t="s">
        <v>118</v>
      </c>
      <c r="C109" s="23" t="str">
        <f>IFERROR(IF(I108="", "", MATCH($B109, 'Capture #1 CSV'!$1:$1, 0)), "")</f>
        <v/>
      </c>
      <c r="D109" s="23" t="str">
        <f>IFERROR(IF(J108="", "", MATCH($B109, 'Capture #2 CSV'!$1:$1, 0)), "")</f>
        <v/>
      </c>
      <c r="E109" s="23" t="str">
        <f>IFERROR(IF(K108="", "", MATCH($B109, 'Capture #3 CSV'!$1:$1, 0)), "")</f>
        <v/>
      </c>
      <c r="F109" s="26" t="str">
        <f>IF(I108="", "", IF(ISNUMBER(C109), Capture1_Length-COUNTA(INDEX('Capture #1 CSV'!$A:$FF, 2, C109):INDEX('Capture #1 CSV'!$A:$FF, Capture1_Length, C109))+1, ""))</f>
        <v/>
      </c>
      <c r="G109" s="26" t="str">
        <f>IF(J108="", "", IF(ISNUMBER(D109), Capture2_Length-COUNTA(INDEX('Capture #2 CSV'!$A:$FF, 2, D109):INDEX('Capture #2 CSV'!$A:$FF, Capture2_Length, D109))+1, ""))</f>
        <v/>
      </c>
      <c r="H109" s="26" t="str">
        <f>IF(K108="", "", IF(ISNUMBER(E109), Capture3_Length-COUNTA(INDEX('Capture #3 CSV'!$A:$FF, 2, E109):INDEX('Capture #3 CSV'!$A:$FF, Capture3_Length, E109))+1, ""))</f>
        <v/>
      </c>
      <c r="I109" s="26" t="str">
        <f>IFERROR(IF(I108="", "", AVERAGE(INDEX('Capture #1 CSV'!$A:$FF, Backend!F109, Backend!C109):INDEX('Capture #1 CSV'!$A:$FF, Capture1_Length, Backend!C109))), "")</f>
        <v/>
      </c>
      <c r="J109" s="26" t="str">
        <f>IFERROR(IF(J108="", "", AVERAGE(INDEX('Capture #2 CSV'!$A:$FF, Backend!G109, Backend!D109):INDEX('Capture #2 CSV'!$A:$FF, Capture2_Length, Backend!D109))), "")</f>
        <v/>
      </c>
      <c r="K109" s="26" t="str">
        <f>IFERROR(IF(K108="", "", AVERAGE(INDEX('Capture #3 CSV'!$A:$FF, Backend!H109, Backend!E109):INDEX('Capture #3 CSV'!$A:$FF, Capture3_Length, Backend!E109))), "")</f>
        <v/>
      </c>
    </row>
    <row r="110" spans="1:11" x14ac:dyDescent="0.25">
      <c r="A110" s="2" t="s">
        <v>52</v>
      </c>
      <c r="B110" s="30" t="s">
        <v>119</v>
      </c>
      <c r="C110" s="23" t="str">
        <f>IFERROR(IF(I109="", "", MATCH($B110, 'Capture #1 CSV'!$1:$1, 0)), "")</f>
        <v/>
      </c>
      <c r="D110" s="23" t="str">
        <f>IFERROR(IF(J109="", "", MATCH($B110, 'Capture #2 CSV'!$1:$1, 0)), "")</f>
        <v/>
      </c>
      <c r="E110" s="23" t="str">
        <f>IFERROR(IF(K109="", "", MATCH($B110, 'Capture #3 CSV'!$1:$1, 0)), "")</f>
        <v/>
      </c>
      <c r="F110" s="26" t="str">
        <f>IF(I109="", "", IF(ISNUMBER(C110), Capture1_Length-COUNTA(INDEX('Capture #1 CSV'!$A:$FF, 2, C110):INDEX('Capture #1 CSV'!$A:$FF, Capture1_Length, C110))+1, ""))</f>
        <v/>
      </c>
      <c r="G110" s="26" t="str">
        <f>IF(J109="", "", IF(ISNUMBER(D110), Capture2_Length-COUNTA(INDEX('Capture #2 CSV'!$A:$FF, 2, D110):INDEX('Capture #2 CSV'!$A:$FF, Capture2_Length, D110))+1, ""))</f>
        <v/>
      </c>
      <c r="H110" s="26" t="str">
        <f>IF(K109="", "", IF(ISNUMBER(E110), Capture3_Length-COUNTA(INDEX('Capture #3 CSV'!$A:$FF, 2, E110):INDEX('Capture #3 CSV'!$A:$FF, Capture3_Length, E110))+1, ""))</f>
        <v/>
      </c>
      <c r="I110" s="26" t="str">
        <f>IFERROR(IF(I109="", "", AVERAGE(INDEX('Capture #1 CSV'!$A:$FF, Backend!F110, Backend!C110):INDEX('Capture #1 CSV'!$A:$FF, Capture1_Length, Backend!C110))), "")</f>
        <v/>
      </c>
      <c r="J110" s="26" t="str">
        <f>IFERROR(IF(J109="", "", AVERAGE(INDEX('Capture #2 CSV'!$A:$FF, Backend!G110, Backend!D110):INDEX('Capture #2 CSV'!$A:$FF, Capture2_Length, Backend!D110))), "")</f>
        <v/>
      </c>
      <c r="K110" s="26" t="str">
        <f>IFERROR(IF(K109="", "", AVERAGE(INDEX('Capture #3 CSV'!$A:$FF, Backend!H110, Backend!E110):INDEX('Capture #3 CSV'!$A:$FF, Capture3_Length, Backend!E110))), "")</f>
        <v/>
      </c>
    </row>
    <row r="111" spans="1:11" x14ac:dyDescent="0.25">
      <c r="A111" s="2" t="s">
        <v>53</v>
      </c>
      <c r="B111" s="30" t="s">
        <v>120</v>
      </c>
      <c r="C111" s="23" t="str">
        <f>IFERROR(IF(I110="", "", MATCH($B111, 'Capture #1 CSV'!$1:$1, 0)), "")</f>
        <v/>
      </c>
      <c r="D111" s="23" t="str">
        <f>IFERROR(IF(J110="", "", MATCH($B111, 'Capture #2 CSV'!$1:$1, 0)), "")</f>
        <v/>
      </c>
      <c r="E111" s="23" t="str">
        <f>IFERROR(IF(K110="", "", MATCH($B111, 'Capture #3 CSV'!$1:$1, 0)), "")</f>
        <v/>
      </c>
      <c r="F111" s="26" t="str">
        <f>IF(I110="", "", IF(ISNUMBER(C111), Capture1_Length-COUNTA(INDEX('Capture #1 CSV'!$A:$FF, 2, C111):INDEX('Capture #1 CSV'!$A:$FF, Capture1_Length, C111))+1, ""))</f>
        <v/>
      </c>
      <c r="G111" s="26" t="str">
        <f>IF(J110="", "", IF(ISNUMBER(D111), Capture2_Length-COUNTA(INDEX('Capture #2 CSV'!$A:$FF, 2, D111):INDEX('Capture #2 CSV'!$A:$FF, Capture2_Length, D111))+1, ""))</f>
        <v/>
      </c>
      <c r="H111" s="26" t="str">
        <f>IF(K110="", "", IF(ISNUMBER(E111), Capture3_Length-COUNTA(INDEX('Capture #3 CSV'!$A:$FF, 2, E111):INDEX('Capture #3 CSV'!$A:$FF, Capture3_Length, E111))+1, ""))</f>
        <v/>
      </c>
      <c r="I111" s="26" t="str">
        <f>IFERROR(IF(I110="", "", AVERAGE(INDEX('Capture #1 CSV'!$A:$FF, Backend!F111, Backend!C111):INDEX('Capture #1 CSV'!$A:$FF, Capture1_Length, Backend!C111))), "")</f>
        <v/>
      </c>
      <c r="J111" s="26" t="str">
        <f>IFERROR(IF(J110="", "", AVERAGE(INDEX('Capture #2 CSV'!$A:$FF, Backend!G111, Backend!D111):INDEX('Capture #2 CSV'!$A:$FF, Capture2_Length, Backend!D111))), "")</f>
        <v/>
      </c>
      <c r="K111" s="26" t="str">
        <f>IFERROR(IF(K110="", "", AVERAGE(INDEX('Capture #3 CSV'!$A:$FF, Backend!H111, Backend!E111):INDEX('Capture #3 CSV'!$A:$FF, Capture3_Length, Backend!E111))), "")</f>
        <v/>
      </c>
    </row>
    <row r="112" spans="1:11" x14ac:dyDescent="0.25">
      <c r="A112" s="2" t="s">
        <v>54</v>
      </c>
      <c r="B112" s="30" t="s">
        <v>121</v>
      </c>
      <c r="C112" s="23" t="str">
        <f>IFERROR(IF(I111="", "", MATCH($B112, 'Capture #1 CSV'!$1:$1, 0)), "")</f>
        <v/>
      </c>
      <c r="D112" s="23" t="str">
        <f>IFERROR(IF(J111="", "", MATCH($B112, 'Capture #2 CSV'!$1:$1, 0)), "")</f>
        <v/>
      </c>
      <c r="E112" s="23" t="str">
        <f>IFERROR(IF(K111="", "", MATCH($B112, 'Capture #3 CSV'!$1:$1, 0)), "")</f>
        <v/>
      </c>
      <c r="F112" s="26" t="str">
        <f>IF(I111="", "", IF(ISNUMBER(C112), Capture1_Length-COUNTA(INDEX('Capture #1 CSV'!$A:$FF, 2, C112):INDEX('Capture #1 CSV'!$A:$FF, Capture1_Length, C112))+1, ""))</f>
        <v/>
      </c>
      <c r="G112" s="26" t="str">
        <f>IF(J111="", "", IF(ISNUMBER(D112), Capture2_Length-COUNTA(INDEX('Capture #2 CSV'!$A:$FF, 2, D112):INDEX('Capture #2 CSV'!$A:$FF, Capture2_Length, D112))+1, ""))</f>
        <v/>
      </c>
      <c r="H112" s="26" t="str">
        <f>IF(K111="", "", IF(ISNUMBER(E112), Capture3_Length-COUNTA(INDEX('Capture #3 CSV'!$A:$FF, 2, E112):INDEX('Capture #3 CSV'!$A:$FF, Capture3_Length, E112))+1, ""))</f>
        <v/>
      </c>
      <c r="I112" s="26" t="str">
        <f>IFERROR(IF(I111="", "", AVERAGE(INDEX('Capture #1 CSV'!$A:$FF, Backend!F112, Backend!C112):INDEX('Capture #1 CSV'!$A:$FF, Capture1_Length, Backend!C112))), "")</f>
        <v/>
      </c>
      <c r="J112" s="26" t="str">
        <f>IFERROR(IF(J111="", "", AVERAGE(INDEX('Capture #2 CSV'!$A:$FF, Backend!G112, Backend!D112):INDEX('Capture #2 CSV'!$A:$FF, Capture2_Length, Backend!D112))), "")</f>
        <v/>
      </c>
      <c r="K112" s="26" t="str">
        <f>IFERROR(IF(K111="", "", AVERAGE(INDEX('Capture #3 CSV'!$A:$FF, Backend!H112, Backend!E112):INDEX('Capture #3 CSV'!$A:$FF, Capture3_Length, Backend!E112))), "")</f>
        <v/>
      </c>
    </row>
    <row r="113" spans="1:11" x14ac:dyDescent="0.25">
      <c r="A113" s="2" t="s">
        <v>55</v>
      </c>
      <c r="B113" s="30" t="s">
        <v>122</v>
      </c>
      <c r="C113" s="23" t="str">
        <f>IFERROR(IF(I112="", "", MATCH($B113, 'Capture #1 CSV'!$1:$1, 0)), "")</f>
        <v/>
      </c>
      <c r="D113" s="23" t="str">
        <f>IFERROR(IF(J112="", "", MATCH($B113, 'Capture #2 CSV'!$1:$1, 0)), "")</f>
        <v/>
      </c>
      <c r="E113" s="23" t="str">
        <f>IFERROR(IF(K112="", "", MATCH($B113, 'Capture #3 CSV'!$1:$1, 0)), "")</f>
        <v/>
      </c>
      <c r="F113" s="26" t="str">
        <f>IF(I112="", "", IF(ISNUMBER(C113), Capture1_Length-COUNTA(INDEX('Capture #1 CSV'!$A:$FF, 2, C113):INDEX('Capture #1 CSV'!$A:$FF, Capture1_Length, C113))+1, ""))</f>
        <v/>
      </c>
      <c r="G113" s="26" t="str">
        <f>IF(J112="", "", IF(ISNUMBER(D113), Capture2_Length-COUNTA(INDEX('Capture #2 CSV'!$A:$FF, 2, D113):INDEX('Capture #2 CSV'!$A:$FF, Capture2_Length, D113))+1, ""))</f>
        <v/>
      </c>
      <c r="H113" s="26" t="str">
        <f>IF(K112="", "", IF(ISNUMBER(E113), Capture3_Length-COUNTA(INDEX('Capture #3 CSV'!$A:$FF, 2, E113):INDEX('Capture #3 CSV'!$A:$FF, Capture3_Length, E113))+1, ""))</f>
        <v/>
      </c>
      <c r="I113" s="26" t="str">
        <f>IFERROR(IF(I112="", "", AVERAGE(INDEX('Capture #1 CSV'!$A:$FF, Backend!F113, Backend!C113):INDEX('Capture #1 CSV'!$A:$FF, Capture1_Length, Backend!C113))), "")</f>
        <v/>
      </c>
      <c r="J113" s="26" t="str">
        <f>IFERROR(IF(J112="", "", AVERAGE(INDEX('Capture #2 CSV'!$A:$FF, Backend!G113, Backend!D113):INDEX('Capture #2 CSV'!$A:$FF, Capture2_Length, Backend!D113))), "")</f>
        <v/>
      </c>
      <c r="K113" s="26" t="str">
        <f>IFERROR(IF(K112="", "", AVERAGE(INDEX('Capture #3 CSV'!$A:$FF, Backend!H113, Backend!E113):INDEX('Capture #3 CSV'!$A:$FF, Capture3_Length, Backend!E113))), "")</f>
        <v/>
      </c>
    </row>
    <row r="114" spans="1:11" x14ac:dyDescent="0.25">
      <c r="A114" s="2" t="s">
        <v>56</v>
      </c>
      <c r="B114" s="30" t="s">
        <v>123</v>
      </c>
      <c r="C114" s="23" t="str">
        <f>IFERROR(IF(I113="", "", MATCH($B114, 'Capture #1 CSV'!$1:$1, 0)), "")</f>
        <v/>
      </c>
      <c r="D114" s="23" t="str">
        <f>IFERROR(IF(J113="", "", MATCH($B114, 'Capture #2 CSV'!$1:$1, 0)), "")</f>
        <v/>
      </c>
      <c r="E114" s="23" t="str">
        <f>IFERROR(IF(K113="", "", MATCH($B114, 'Capture #3 CSV'!$1:$1, 0)), "")</f>
        <v/>
      </c>
      <c r="F114" s="26" t="str">
        <f>IF(I113="", "", IF(ISNUMBER(C114), Capture1_Length-COUNTA(INDEX('Capture #1 CSV'!$A:$FF, 2, C114):INDEX('Capture #1 CSV'!$A:$FF, Capture1_Length, C114))+1, ""))</f>
        <v/>
      </c>
      <c r="G114" s="26" t="str">
        <f>IF(J113="", "", IF(ISNUMBER(D114), Capture2_Length-COUNTA(INDEX('Capture #2 CSV'!$A:$FF, 2, D114):INDEX('Capture #2 CSV'!$A:$FF, Capture2_Length, D114))+1, ""))</f>
        <v/>
      </c>
      <c r="H114" s="26" t="str">
        <f>IF(K113="", "", IF(ISNUMBER(E114), Capture3_Length-COUNTA(INDEX('Capture #3 CSV'!$A:$FF, 2, E114):INDEX('Capture #3 CSV'!$A:$FF, Capture3_Length, E114))+1, ""))</f>
        <v/>
      </c>
      <c r="I114" s="26" t="str">
        <f>IFERROR(IF(I113="", "", AVERAGE(INDEX('Capture #1 CSV'!$A:$FF, Backend!F114, Backend!C114):INDEX('Capture #1 CSV'!$A:$FF, Capture1_Length, Backend!C114))), "")</f>
        <v/>
      </c>
      <c r="J114" s="26" t="str">
        <f>IFERROR(IF(J113="", "", AVERAGE(INDEX('Capture #2 CSV'!$A:$FF, Backend!G114, Backend!D114):INDEX('Capture #2 CSV'!$A:$FF, Capture2_Length, Backend!D114))), "")</f>
        <v/>
      </c>
      <c r="K114" s="26" t="str">
        <f>IFERROR(IF(K113="", "", AVERAGE(INDEX('Capture #3 CSV'!$A:$FF, Backend!H114, Backend!E114):INDEX('Capture #3 CSV'!$A:$FF, Capture3_Length, Backend!E114))), "")</f>
        <v/>
      </c>
    </row>
    <row r="115" spans="1:11" x14ac:dyDescent="0.25">
      <c r="A115" s="2" t="s">
        <v>57</v>
      </c>
      <c r="B115" s="30" t="s">
        <v>124</v>
      </c>
      <c r="C115" s="23" t="str">
        <f>IFERROR(IF(I114="", "", MATCH($B115, 'Capture #1 CSV'!$1:$1, 0)), "")</f>
        <v/>
      </c>
      <c r="D115" s="23" t="str">
        <f>IFERROR(IF(J114="", "", MATCH($B115, 'Capture #2 CSV'!$1:$1, 0)), "")</f>
        <v/>
      </c>
      <c r="E115" s="23" t="str">
        <f>IFERROR(IF(K114="", "", MATCH($B115, 'Capture #3 CSV'!$1:$1, 0)), "")</f>
        <v/>
      </c>
      <c r="F115" s="26" t="str">
        <f>IF(I114="", "", IF(ISNUMBER(C115), Capture1_Length-COUNTA(INDEX('Capture #1 CSV'!$A:$FF, 2, C115):INDEX('Capture #1 CSV'!$A:$FF, Capture1_Length, C115))+1, ""))</f>
        <v/>
      </c>
      <c r="G115" s="26" t="str">
        <f>IF(J114="", "", IF(ISNUMBER(D115), Capture2_Length-COUNTA(INDEX('Capture #2 CSV'!$A:$FF, 2, D115):INDEX('Capture #2 CSV'!$A:$FF, Capture2_Length, D115))+1, ""))</f>
        <v/>
      </c>
      <c r="H115" s="26" t="str">
        <f>IF(K114="", "", IF(ISNUMBER(E115), Capture3_Length-COUNTA(INDEX('Capture #3 CSV'!$A:$FF, 2, E115):INDEX('Capture #3 CSV'!$A:$FF, Capture3_Length, E115))+1, ""))</f>
        <v/>
      </c>
      <c r="I115" s="26" t="str">
        <f>IFERROR(IF(I114="", "", AVERAGE(INDEX('Capture #1 CSV'!$A:$FF, Backend!F115, Backend!C115):INDEX('Capture #1 CSV'!$A:$FF, Capture1_Length, Backend!C115))), "")</f>
        <v/>
      </c>
      <c r="J115" s="26" t="str">
        <f>IFERROR(IF(J114="", "", AVERAGE(INDEX('Capture #2 CSV'!$A:$FF, Backend!G115, Backend!D115):INDEX('Capture #2 CSV'!$A:$FF, Capture2_Length, Backend!D115))), "")</f>
        <v/>
      </c>
      <c r="K115" s="26" t="str">
        <f>IFERROR(IF(K114="", "", AVERAGE(INDEX('Capture #3 CSV'!$A:$FF, Backend!H115, Backend!E115):INDEX('Capture #3 CSV'!$A:$FF, Capture3_Length, Backend!E115))), "")</f>
        <v/>
      </c>
    </row>
    <row r="116" spans="1:11" x14ac:dyDescent="0.25">
      <c r="A116" s="2" t="s">
        <v>58</v>
      </c>
      <c r="B116" s="30" t="s">
        <v>125</v>
      </c>
      <c r="C116" s="23" t="str">
        <f>IFERROR(IF(I115="", "", MATCH($B116, 'Capture #1 CSV'!$1:$1, 0)), "")</f>
        <v/>
      </c>
      <c r="D116" s="23" t="str">
        <f>IFERROR(IF(J115="", "", MATCH($B116, 'Capture #2 CSV'!$1:$1, 0)), "")</f>
        <v/>
      </c>
      <c r="E116" s="23" t="str">
        <f>IFERROR(IF(K115="", "", MATCH($B116, 'Capture #3 CSV'!$1:$1, 0)), "")</f>
        <v/>
      </c>
      <c r="F116" s="26" t="str">
        <f>IF(I115="", "", IF(ISNUMBER(C116), Capture1_Length-COUNTA(INDEX('Capture #1 CSV'!$A:$FF, 2, C116):INDEX('Capture #1 CSV'!$A:$FF, Capture1_Length, C116))+1, ""))</f>
        <v/>
      </c>
      <c r="G116" s="26" t="str">
        <f>IF(J115="", "", IF(ISNUMBER(D116), Capture2_Length-COUNTA(INDEX('Capture #2 CSV'!$A:$FF, 2, D116):INDEX('Capture #2 CSV'!$A:$FF, Capture2_Length, D116))+1, ""))</f>
        <v/>
      </c>
      <c r="H116" s="26" t="str">
        <f>IF(K115="", "", IF(ISNUMBER(E116), Capture3_Length-COUNTA(INDEX('Capture #3 CSV'!$A:$FF, 2, E116):INDEX('Capture #3 CSV'!$A:$FF, Capture3_Length, E116))+1, ""))</f>
        <v/>
      </c>
      <c r="I116" s="26" t="str">
        <f>IFERROR(IF(I115="", "", AVERAGE(INDEX('Capture #1 CSV'!$A:$FF, Backend!F116, Backend!C116):INDEX('Capture #1 CSV'!$A:$FF, Capture1_Length, Backend!C116))), "")</f>
        <v/>
      </c>
      <c r="J116" s="26" t="str">
        <f>IFERROR(IF(J115="", "", AVERAGE(INDEX('Capture #2 CSV'!$A:$FF, Backend!G116, Backend!D116):INDEX('Capture #2 CSV'!$A:$FF, Capture2_Length, Backend!D116))), "")</f>
        <v/>
      </c>
      <c r="K116" s="26" t="str">
        <f>IFERROR(IF(K115="", "", AVERAGE(INDEX('Capture #3 CSV'!$A:$FF, Backend!H116, Backend!E116):INDEX('Capture #3 CSV'!$A:$FF, Capture3_Length, Backend!E116))), "")</f>
        <v/>
      </c>
    </row>
    <row r="117" spans="1:11" x14ac:dyDescent="0.25">
      <c r="A117" s="2" t="s">
        <v>59</v>
      </c>
      <c r="B117" s="30" t="s">
        <v>126</v>
      </c>
      <c r="C117" s="23" t="str">
        <f>IFERROR(IF(I116="", "", MATCH($B117, 'Capture #1 CSV'!$1:$1, 0)), "")</f>
        <v/>
      </c>
      <c r="D117" s="23" t="str">
        <f>IFERROR(IF(J116="", "", MATCH($B117, 'Capture #2 CSV'!$1:$1, 0)), "")</f>
        <v/>
      </c>
      <c r="E117" s="23" t="str">
        <f>IFERROR(IF(K116="", "", MATCH($B117, 'Capture #3 CSV'!$1:$1, 0)), "")</f>
        <v/>
      </c>
      <c r="F117" s="26" t="str">
        <f>IF(I116="", "", IF(ISNUMBER(C117), Capture1_Length-COUNTA(INDEX('Capture #1 CSV'!$A:$FF, 2, C117):INDEX('Capture #1 CSV'!$A:$FF, Capture1_Length, C117))+1, ""))</f>
        <v/>
      </c>
      <c r="G117" s="26" t="str">
        <f>IF(J116="", "", IF(ISNUMBER(D117), Capture2_Length-COUNTA(INDEX('Capture #2 CSV'!$A:$FF, 2, D117):INDEX('Capture #2 CSV'!$A:$FF, Capture2_Length, D117))+1, ""))</f>
        <v/>
      </c>
      <c r="H117" s="26" t="str">
        <f>IF(K116="", "", IF(ISNUMBER(E117), Capture3_Length-COUNTA(INDEX('Capture #3 CSV'!$A:$FF, 2, E117):INDEX('Capture #3 CSV'!$A:$FF, Capture3_Length, E117))+1, ""))</f>
        <v/>
      </c>
      <c r="I117" s="26" t="str">
        <f>IFERROR(IF(I116="", "", AVERAGE(INDEX('Capture #1 CSV'!$A:$FF, Backend!F117, Backend!C117):INDEX('Capture #1 CSV'!$A:$FF, Capture1_Length, Backend!C117))), "")</f>
        <v/>
      </c>
      <c r="J117" s="26" t="str">
        <f>IFERROR(IF(J116="", "", AVERAGE(INDEX('Capture #2 CSV'!$A:$FF, Backend!G117, Backend!D117):INDEX('Capture #2 CSV'!$A:$FF, Capture2_Length, Backend!D117))), "")</f>
        <v/>
      </c>
      <c r="K117" s="26" t="str">
        <f>IFERROR(IF(K116="", "", AVERAGE(INDEX('Capture #3 CSV'!$A:$FF, Backend!H117, Backend!E117):INDEX('Capture #3 CSV'!$A:$FF, Capture3_Length, Backend!E117))), "")</f>
        <v/>
      </c>
    </row>
    <row r="118" spans="1:11" x14ac:dyDescent="0.25">
      <c r="A118" s="2" t="s">
        <v>60</v>
      </c>
      <c r="B118" s="30" t="s">
        <v>127</v>
      </c>
      <c r="C118" s="23" t="str">
        <f>IFERROR(IF(I117="", "", MATCH($B118, 'Capture #1 CSV'!$1:$1, 0)), "")</f>
        <v/>
      </c>
      <c r="D118" s="23" t="str">
        <f>IFERROR(IF(J117="", "", MATCH($B118, 'Capture #2 CSV'!$1:$1, 0)), "")</f>
        <v/>
      </c>
      <c r="E118" s="23" t="str">
        <f>IFERROR(IF(K117="", "", MATCH($B118, 'Capture #3 CSV'!$1:$1, 0)), "")</f>
        <v/>
      </c>
      <c r="F118" s="26" t="str">
        <f>IF(I117="", "", IF(ISNUMBER(C118), Capture1_Length-COUNTA(INDEX('Capture #1 CSV'!$A:$FF, 2, C118):INDEX('Capture #1 CSV'!$A:$FF, Capture1_Length, C118))+1, ""))</f>
        <v/>
      </c>
      <c r="G118" s="26" t="str">
        <f>IF(J117="", "", IF(ISNUMBER(D118), Capture2_Length-COUNTA(INDEX('Capture #2 CSV'!$A:$FF, 2, D118):INDEX('Capture #2 CSV'!$A:$FF, Capture2_Length, D118))+1, ""))</f>
        <v/>
      </c>
      <c r="H118" s="26" t="str">
        <f>IF(K117="", "", IF(ISNUMBER(E118), Capture3_Length-COUNTA(INDEX('Capture #3 CSV'!$A:$FF, 2, E118):INDEX('Capture #3 CSV'!$A:$FF, Capture3_Length, E118))+1, ""))</f>
        <v/>
      </c>
      <c r="I118" s="26" t="str">
        <f>IFERROR(IF(I117="", "", AVERAGE(INDEX('Capture #1 CSV'!$A:$FF, Backend!F118, Backend!C118):INDEX('Capture #1 CSV'!$A:$FF, Capture1_Length, Backend!C118))), "")</f>
        <v/>
      </c>
      <c r="J118" s="26" t="str">
        <f>IFERROR(IF(J117="", "", AVERAGE(INDEX('Capture #2 CSV'!$A:$FF, Backend!G118, Backend!D118):INDEX('Capture #2 CSV'!$A:$FF, Capture2_Length, Backend!D118))), "")</f>
        <v/>
      </c>
      <c r="K118" s="26" t="str">
        <f>IFERROR(IF(K117="", "", AVERAGE(INDEX('Capture #3 CSV'!$A:$FF, Backend!H118, Backend!E118):INDEX('Capture #3 CSV'!$A:$FF, Capture3_Length, Backend!E118))), "")</f>
        <v/>
      </c>
    </row>
    <row r="119" spans="1:11" x14ac:dyDescent="0.25">
      <c r="A119" s="2" t="s">
        <v>61</v>
      </c>
      <c r="B119" s="30" t="s">
        <v>128</v>
      </c>
      <c r="C119" s="23" t="str">
        <f>IFERROR(IF(I118="", "", MATCH($B119, 'Capture #1 CSV'!$1:$1, 0)), "")</f>
        <v/>
      </c>
      <c r="D119" s="23" t="str">
        <f>IFERROR(IF(J118="", "", MATCH($B119, 'Capture #2 CSV'!$1:$1, 0)), "")</f>
        <v/>
      </c>
      <c r="E119" s="23" t="str">
        <f>IFERROR(IF(K118="", "", MATCH($B119, 'Capture #3 CSV'!$1:$1, 0)), "")</f>
        <v/>
      </c>
      <c r="F119" s="26" t="str">
        <f>IF(I118="", "", IF(ISNUMBER(C119), Capture1_Length-COUNTA(INDEX('Capture #1 CSV'!$A:$FF, 2, C119):INDEX('Capture #1 CSV'!$A:$FF, Capture1_Length, C119))+1, ""))</f>
        <v/>
      </c>
      <c r="G119" s="26" t="str">
        <f>IF(J118="", "", IF(ISNUMBER(D119), Capture2_Length-COUNTA(INDEX('Capture #2 CSV'!$A:$FF, 2, D119):INDEX('Capture #2 CSV'!$A:$FF, Capture2_Length, D119))+1, ""))</f>
        <v/>
      </c>
      <c r="H119" s="26" t="str">
        <f>IF(K118="", "", IF(ISNUMBER(E119), Capture3_Length-COUNTA(INDEX('Capture #3 CSV'!$A:$FF, 2, E119):INDEX('Capture #3 CSV'!$A:$FF, Capture3_Length, E119))+1, ""))</f>
        <v/>
      </c>
      <c r="I119" s="26" t="str">
        <f>IFERROR(IF(I118="", "", AVERAGE(INDEX('Capture #1 CSV'!$A:$FF, Backend!F119, Backend!C119):INDEX('Capture #1 CSV'!$A:$FF, Capture1_Length, Backend!C119))), "")</f>
        <v/>
      </c>
      <c r="J119" s="26" t="str">
        <f>IFERROR(IF(J118="", "", AVERAGE(INDEX('Capture #2 CSV'!$A:$FF, Backend!G119, Backend!D119):INDEX('Capture #2 CSV'!$A:$FF, Capture2_Length, Backend!D119))), "")</f>
        <v/>
      </c>
      <c r="K119" s="26" t="str">
        <f>IFERROR(IF(K118="", "", AVERAGE(INDEX('Capture #3 CSV'!$A:$FF, Backend!H119, Backend!E119):INDEX('Capture #3 CSV'!$A:$FF, Capture3_Length, Backend!E119))), "")</f>
        <v/>
      </c>
    </row>
    <row r="120" spans="1:11" x14ac:dyDescent="0.25">
      <c r="A120" s="2" t="s">
        <v>62</v>
      </c>
      <c r="B120" s="30" t="s">
        <v>129</v>
      </c>
      <c r="C120" s="23" t="str">
        <f>IFERROR(IF(I119="", "", MATCH($B120, 'Capture #1 CSV'!$1:$1, 0)), "")</f>
        <v/>
      </c>
      <c r="D120" s="23" t="str">
        <f>IFERROR(IF(J119="", "", MATCH($B120, 'Capture #2 CSV'!$1:$1, 0)), "")</f>
        <v/>
      </c>
      <c r="E120" s="23" t="str">
        <f>IFERROR(IF(K119="", "", MATCH($B120, 'Capture #3 CSV'!$1:$1, 0)), "")</f>
        <v/>
      </c>
      <c r="F120" s="26" t="str">
        <f>IF(I119="", "", IF(ISNUMBER(C120), Capture1_Length-COUNTA(INDEX('Capture #1 CSV'!$A:$FF, 2, C120):INDEX('Capture #1 CSV'!$A:$FF, Capture1_Length, C120))+1, ""))</f>
        <v/>
      </c>
      <c r="G120" s="26" t="str">
        <f>IF(J119="", "", IF(ISNUMBER(D120), Capture2_Length-COUNTA(INDEX('Capture #2 CSV'!$A:$FF, 2, D120):INDEX('Capture #2 CSV'!$A:$FF, Capture2_Length, D120))+1, ""))</f>
        <v/>
      </c>
      <c r="H120" s="26" t="str">
        <f>IF(K119="", "", IF(ISNUMBER(E120), Capture3_Length-COUNTA(INDEX('Capture #3 CSV'!$A:$FF, 2, E120):INDEX('Capture #3 CSV'!$A:$FF, Capture3_Length, E120))+1, ""))</f>
        <v/>
      </c>
      <c r="I120" s="26" t="str">
        <f>IFERROR(IF(I119="", "", AVERAGE(INDEX('Capture #1 CSV'!$A:$FF, Backend!F120, Backend!C120):INDEX('Capture #1 CSV'!$A:$FF, Capture1_Length, Backend!C120))), "")</f>
        <v/>
      </c>
      <c r="J120" s="26" t="str">
        <f>IFERROR(IF(J119="", "", AVERAGE(INDEX('Capture #2 CSV'!$A:$FF, Backend!G120, Backend!D120):INDEX('Capture #2 CSV'!$A:$FF, Capture2_Length, Backend!D120))), "")</f>
        <v/>
      </c>
      <c r="K120" s="26" t="str">
        <f>IFERROR(IF(K119="", "", AVERAGE(INDEX('Capture #3 CSV'!$A:$FF, Backend!H120, Backend!E120):INDEX('Capture #3 CSV'!$A:$FF, Capture3_Length, Backend!E120))), "")</f>
        <v/>
      </c>
    </row>
    <row r="121" spans="1:11" x14ac:dyDescent="0.25">
      <c r="A121" s="2" t="s">
        <v>63</v>
      </c>
      <c r="B121" s="30" t="s">
        <v>130</v>
      </c>
      <c r="C121" s="23" t="str">
        <f>IFERROR(IF(I120="", "", MATCH($B121, 'Capture #1 CSV'!$1:$1, 0)), "")</f>
        <v/>
      </c>
      <c r="D121" s="23" t="str">
        <f>IFERROR(IF(J120="", "", MATCH($B121, 'Capture #2 CSV'!$1:$1, 0)), "")</f>
        <v/>
      </c>
      <c r="E121" s="23" t="str">
        <f>IFERROR(IF(K120="", "", MATCH($B121, 'Capture #3 CSV'!$1:$1, 0)), "")</f>
        <v/>
      </c>
      <c r="F121" s="26" t="str">
        <f>IF(I120="", "", IF(ISNUMBER(C121), Capture1_Length-COUNTA(INDEX('Capture #1 CSV'!$A:$FF, 2, C121):INDEX('Capture #1 CSV'!$A:$FF, Capture1_Length, C121))+1, ""))</f>
        <v/>
      </c>
      <c r="G121" s="26" t="str">
        <f>IF(J120="", "", IF(ISNUMBER(D121), Capture2_Length-COUNTA(INDEX('Capture #2 CSV'!$A:$FF, 2, D121):INDEX('Capture #2 CSV'!$A:$FF, Capture2_Length, D121))+1, ""))</f>
        <v/>
      </c>
      <c r="H121" s="26" t="str">
        <f>IF(K120="", "", IF(ISNUMBER(E121), Capture3_Length-COUNTA(INDEX('Capture #3 CSV'!$A:$FF, 2, E121):INDEX('Capture #3 CSV'!$A:$FF, Capture3_Length, E121))+1, ""))</f>
        <v/>
      </c>
      <c r="I121" s="26" t="str">
        <f>IFERROR(IF(I120="", "", AVERAGE(INDEX('Capture #1 CSV'!$A:$FF, Backend!F121, Backend!C121):INDEX('Capture #1 CSV'!$A:$FF, Capture1_Length, Backend!C121))), "")</f>
        <v/>
      </c>
      <c r="J121" s="26" t="str">
        <f>IFERROR(IF(J120="", "", AVERAGE(INDEX('Capture #2 CSV'!$A:$FF, Backend!G121, Backend!D121):INDEX('Capture #2 CSV'!$A:$FF, Capture2_Length, Backend!D121))), "")</f>
        <v/>
      </c>
      <c r="K121" s="26" t="str">
        <f>IFERROR(IF(K120="", "", AVERAGE(INDEX('Capture #3 CSV'!$A:$FF, Backend!H121, Backend!E121):INDEX('Capture #3 CSV'!$A:$FF, Capture3_Length, Backend!E121))), "")</f>
        <v/>
      </c>
    </row>
    <row r="122" spans="1:11" x14ac:dyDescent="0.25">
      <c r="A122" s="2" t="s">
        <v>64</v>
      </c>
      <c r="B122" s="30" t="s">
        <v>131</v>
      </c>
      <c r="C122" s="23" t="str">
        <f>IFERROR(IF(I121="", "", MATCH($B122, 'Capture #1 CSV'!$1:$1, 0)), "")</f>
        <v/>
      </c>
      <c r="D122" s="23" t="str">
        <f>IFERROR(IF(J121="", "", MATCH($B122, 'Capture #2 CSV'!$1:$1, 0)), "")</f>
        <v/>
      </c>
      <c r="E122" s="23" t="str">
        <f>IFERROR(IF(K121="", "", MATCH($B122, 'Capture #3 CSV'!$1:$1, 0)), "")</f>
        <v/>
      </c>
      <c r="F122" s="26" t="str">
        <f>IF(I121="", "", IF(ISNUMBER(C122), Capture1_Length-COUNTA(INDEX('Capture #1 CSV'!$A:$FF, 2, C122):INDEX('Capture #1 CSV'!$A:$FF, Capture1_Length, C122))+1, ""))</f>
        <v/>
      </c>
      <c r="G122" s="26" t="str">
        <f>IF(J121="", "", IF(ISNUMBER(D122), Capture2_Length-COUNTA(INDEX('Capture #2 CSV'!$A:$FF, 2, D122):INDEX('Capture #2 CSV'!$A:$FF, Capture2_Length, D122))+1, ""))</f>
        <v/>
      </c>
      <c r="H122" s="26" t="str">
        <f>IF(K121="", "", IF(ISNUMBER(E122), Capture3_Length-COUNTA(INDEX('Capture #3 CSV'!$A:$FF, 2, E122):INDEX('Capture #3 CSV'!$A:$FF, Capture3_Length, E122))+1, ""))</f>
        <v/>
      </c>
      <c r="I122" s="26" t="str">
        <f>IFERROR(IF(I121="", "", AVERAGE(INDEX('Capture #1 CSV'!$A:$FF, Backend!F122, Backend!C122):INDEX('Capture #1 CSV'!$A:$FF, Capture1_Length, Backend!C122))), "")</f>
        <v/>
      </c>
      <c r="J122" s="26" t="str">
        <f>IFERROR(IF(J121="", "", AVERAGE(INDEX('Capture #2 CSV'!$A:$FF, Backend!G122, Backend!D122):INDEX('Capture #2 CSV'!$A:$FF, Capture2_Length, Backend!D122))), "")</f>
        <v/>
      </c>
      <c r="K122" s="26" t="str">
        <f>IFERROR(IF(K121="", "", AVERAGE(INDEX('Capture #3 CSV'!$A:$FF, Backend!H122, Backend!E122):INDEX('Capture #3 CSV'!$A:$FF, Capture3_Length, Backend!E122))), "")</f>
        <v/>
      </c>
    </row>
    <row r="123" spans="1:11" x14ac:dyDescent="0.25">
      <c r="A123" s="2" t="s">
        <v>65</v>
      </c>
      <c r="B123" s="30" t="s">
        <v>132</v>
      </c>
      <c r="C123" s="23" t="str">
        <f>IFERROR(IF(I122="", "", MATCH($B123, 'Capture #1 CSV'!$1:$1, 0)), "")</f>
        <v/>
      </c>
      <c r="D123" s="23" t="str">
        <f>IFERROR(IF(J122="", "", MATCH($B123, 'Capture #2 CSV'!$1:$1, 0)), "")</f>
        <v/>
      </c>
      <c r="E123" s="23" t="str">
        <f>IFERROR(IF(K122="", "", MATCH($B123, 'Capture #3 CSV'!$1:$1, 0)), "")</f>
        <v/>
      </c>
      <c r="F123" s="26" t="str">
        <f>IF(I122="", "", IF(ISNUMBER(C123), Capture1_Length-COUNTA(INDEX('Capture #1 CSV'!$A:$FF, 2, C123):INDEX('Capture #1 CSV'!$A:$FF, Capture1_Length, C123))+1, ""))</f>
        <v/>
      </c>
      <c r="G123" s="26" t="str">
        <f>IF(J122="", "", IF(ISNUMBER(D123), Capture2_Length-COUNTA(INDEX('Capture #2 CSV'!$A:$FF, 2, D123):INDEX('Capture #2 CSV'!$A:$FF, Capture2_Length, D123))+1, ""))</f>
        <v/>
      </c>
      <c r="H123" s="26" t="str">
        <f>IF(K122="", "", IF(ISNUMBER(E123), Capture3_Length-COUNTA(INDEX('Capture #3 CSV'!$A:$FF, 2, E123):INDEX('Capture #3 CSV'!$A:$FF, Capture3_Length, E123))+1, ""))</f>
        <v/>
      </c>
      <c r="I123" s="26" t="str">
        <f>IFERROR(IF(I122="", "", AVERAGE(INDEX('Capture #1 CSV'!$A:$FF, Backend!F123, Backend!C123):INDEX('Capture #1 CSV'!$A:$FF, Capture1_Length, Backend!C123))), "")</f>
        <v/>
      </c>
      <c r="J123" s="26" t="str">
        <f>IFERROR(IF(J122="", "", AVERAGE(INDEX('Capture #2 CSV'!$A:$FF, Backend!G123, Backend!D123):INDEX('Capture #2 CSV'!$A:$FF, Capture2_Length, Backend!D123))), "")</f>
        <v/>
      </c>
      <c r="K123" s="26" t="str">
        <f>IFERROR(IF(K122="", "", AVERAGE(INDEX('Capture #3 CSV'!$A:$FF, Backend!H123, Backend!E123):INDEX('Capture #3 CSV'!$A:$FF, Capture3_Length, Backend!E123))), "")</f>
        <v/>
      </c>
    </row>
    <row r="124" spans="1:11" x14ac:dyDescent="0.25">
      <c r="A124" s="2" t="s">
        <v>66</v>
      </c>
      <c r="B124" s="30" t="s">
        <v>133</v>
      </c>
      <c r="C124" s="23" t="str">
        <f>IFERROR(IF(I123="", "", MATCH($B124, 'Capture #1 CSV'!$1:$1, 0)), "")</f>
        <v/>
      </c>
      <c r="D124" s="23" t="str">
        <f>IFERROR(IF(J123="", "", MATCH($B124, 'Capture #2 CSV'!$1:$1, 0)), "")</f>
        <v/>
      </c>
      <c r="E124" s="23" t="str">
        <f>IFERROR(IF(K123="", "", MATCH($B124, 'Capture #3 CSV'!$1:$1, 0)), "")</f>
        <v/>
      </c>
      <c r="F124" s="26" t="str">
        <f>IF(I123="", "", IF(ISNUMBER(C124), Capture1_Length-COUNTA(INDEX('Capture #1 CSV'!$A:$FF, 2, C124):INDEX('Capture #1 CSV'!$A:$FF, Capture1_Length, C124))+1, ""))</f>
        <v/>
      </c>
      <c r="G124" s="26" t="str">
        <f>IF(J123="", "", IF(ISNUMBER(D124), Capture2_Length-COUNTA(INDEX('Capture #2 CSV'!$A:$FF, 2, D124):INDEX('Capture #2 CSV'!$A:$FF, Capture2_Length, D124))+1, ""))</f>
        <v/>
      </c>
      <c r="H124" s="26" t="str">
        <f>IF(K123="", "", IF(ISNUMBER(E124), Capture3_Length-COUNTA(INDEX('Capture #3 CSV'!$A:$FF, 2, E124):INDEX('Capture #3 CSV'!$A:$FF, Capture3_Length, E124))+1, ""))</f>
        <v/>
      </c>
      <c r="I124" s="26" t="str">
        <f>IFERROR(IF(I123="", "", AVERAGE(INDEX('Capture #1 CSV'!$A:$FF, Backend!F124, Backend!C124):INDEX('Capture #1 CSV'!$A:$FF, Capture1_Length, Backend!C124))), "")</f>
        <v/>
      </c>
      <c r="J124" s="26" t="str">
        <f>IFERROR(IF(J123="", "", AVERAGE(INDEX('Capture #2 CSV'!$A:$FF, Backend!G124, Backend!D124):INDEX('Capture #2 CSV'!$A:$FF, Capture2_Length, Backend!D124))), "")</f>
        <v/>
      </c>
      <c r="K124" s="26" t="str">
        <f>IFERROR(IF(K123="", "", AVERAGE(INDEX('Capture #3 CSV'!$A:$FF, Backend!H124, Backend!E124):INDEX('Capture #3 CSV'!$A:$FF, Capture3_Length, Backend!E124))), "")</f>
        <v/>
      </c>
    </row>
    <row r="125" spans="1:11" x14ac:dyDescent="0.25">
      <c r="A125" s="2" t="s">
        <v>67</v>
      </c>
      <c r="B125" s="30" t="s">
        <v>134</v>
      </c>
      <c r="C125" s="23" t="str">
        <f>IFERROR(IF(I124="", "", MATCH($B125, 'Capture #1 CSV'!$1:$1, 0)), "")</f>
        <v/>
      </c>
      <c r="D125" s="23" t="str">
        <f>IFERROR(IF(J124="", "", MATCH($B125, 'Capture #2 CSV'!$1:$1, 0)), "")</f>
        <v/>
      </c>
      <c r="E125" s="23" t="str">
        <f>IFERROR(IF(K124="", "", MATCH($B125, 'Capture #3 CSV'!$1:$1, 0)), "")</f>
        <v/>
      </c>
      <c r="F125" s="26" t="str">
        <f>IF(I124="", "", IF(ISNUMBER(C125), Capture1_Length-COUNTA(INDEX('Capture #1 CSV'!$A:$FF, 2, C125):INDEX('Capture #1 CSV'!$A:$FF, Capture1_Length, C125))+1, ""))</f>
        <v/>
      </c>
      <c r="G125" s="26" t="str">
        <f>IF(J124="", "", IF(ISNUMBER(D125), Capture2_Length-COUNTA(INDEX('Capture #2 CSV'!$A:$FF, 2, D125):INDEX('Capture #2 CSV'!$A:$FF, Capture2_Length, D125))+1, ""))</f>
        <v/>
      </c>
      <c r="H125" s="26" t="str">
        <f>IF(K124="", "", IF(ISNUMBER(E125), Capture3_Length-COUNTA(INDEX('Capture #3 CSV'!$A:$FF, 2, E125):INDEX('Capture #3 CSV'!$A:$FF, Capture3_Length, E125))+1, ""))</f>
        <v/>
      </c>
      <c r="I125" s="26" t="str">
        <f>IFERROR(IF(I124="", "", AVERAGE(INDEX('Capture #1 CSV'!$A:$FF, Backend!F125, Backend!C125):INDEX('Capture #1 CSV'!$A:$FF, Capture1_Length, Backend!C125))), "")</f>
        <v/>
      </c>
      <c r="J125" s="26" t="str">
        <f>IFERROR(IF(J124="", "", AVERAGE(INDEX('Capture #2 CSV'!$A:$FF, Backend!G125, Backend!D125):INDEX('Capture #2 CSV'!$A:$FF, Capture2_Length, Backend!D125))), "")</f>
        <v/>
      </c>
      <c r="K125" s="26" t="str">
        <f>IFERROR(IF(K124="", "", AVERAGE(INDEX('Capture #3 CSV'!$A:$FF, Backend!H125, Backend!E125):INDEX('Capture #3 CSV'!$A:$FF, Capture3_Length, Backend!E125))), "")</f>
        <v/>
      </c>
    </row>
    <row r="126" spans="1:11" x14ac:dyDescent="0.25">
      <c r="A126" s="2" t="s">
        <v>68</v>
      </c>
      <c r="B126" s="30" t="s">
        <v>135</v>
      </c>
      <c r="C126" s="23" t="str">
        <f>IFERROR(IF(I125="", "", MATCH($B126, 'Capture #1 CSV'!$1:$1, 0)), "")</f>
        <v/>
      </c>
      <c r="D126" s="23" t="str">
        <f>IFERROR(IF(J125="", "", MATCH($B126, 'Capture #2 CSV'!$1:$1, 0)), "")</f>
        <v/>
      </c>
      <c r="E126" s="23" t="str">
        <f>IFERROR(IF(K125="", "", MATCH($B126, 'Capture #3 CSV'!$1:$1, 0)), "")</f>
        <v/>
      </c>
      <c r="F126" s="26" t="str">
        <f>IF(I125="", "", IF(ISNUMBER(C126), Capture1_Length-COUNTA(INDEX('Capture #1 CSV'!$A:$FF, 2, C126):INDEX('Capture #1 CSV'!$A:$FF, Capture1_Length, C126))+1, ""))</f>
        <v/>
      </c>
      <c r="G126" s="26" t="str">
        <f>IF(J125="", "", IF(ISNUMBER(D126), Capture2_Length-COUNTA(INDEX('Capture #2 CSV'!$A:$FF, 2, D126):INDEX('Capture #2 CSV'!$A:$FF, Capture2_Length, D126))+1, ""))</f>
        <v/>
      </c>
      <c r="H126" s="26" t="str">
        <f>IF(K125="", "", IF(ISNUMBER(E126), Capture3_Length-COUNTA(INDEX('Capture #3 CSV'!$A:$FF, 2, E126):INDEX('Capture #3 CSV'!$A:$FF, Capture3_Length, E126))+1, ""))</f>
        <v/>
      </c>
      <c r="I126" s="26" t="str">
        <f>IFERROR(IF(I125="", "", AVERAGE(INDEX('Capture #1 CSV'!$A:$FF, Backend!F126, Backend!C126):INDEX('Capture #1 CSV'!$A:$FF, Capture1_Length, Backend!C126))), "")</f>
        <v/>
      </c>
      <c r="J126" s="26" t="str">
        <f>IFERROR(IF(J125="", "", AVERAGE(INDEX('Capture #2 CSV'!$A:$FF, Backend!G126, Backend!D126):INDEX('Capture #2 CSV'!$A:$FF, Capture2_Length, Backend!D126))), "")</f>
        <v/>
      </c>
      <c r="K126" s="26" t="str">
        <f>IFERROR(IF(K125="", "", AVERAGE(INDEX('Capture #3 CSV'!$A:$FF, Backend!H126, Backend!E126):INDEX('Capture #3 CSV'!$A:$FF, Capture3_Length, Backend!E126))), "")</f>
        <v/>
      </c>
    </row>
    <row r="127" spans="1:11" x14ac:dyDescent="0.25">
      <c r="A127" s="2" t="s">
        <v>69</v>
      </c>
      <c r="B127" s="30" t="s">
        <v>136</v>
      </c>
      <c r="C127" s="23" t="str">
        <f>IFERROR(IF(I126="", "", MATCH($B127, 'Capture #1 CSV'!$1:$1, 0)), "")</f>
        <v/>
      </c>
      <c r="D127" s="23" t="str">
        <f>IFERROR(IF(J126="", "", MATCH($B127, 'Capture #2 CSV'!$1:$1, 0)), "")</f>
        <v/>
      </c>
      <c r="E127" s="23" t="str">
        <f>IFERROR(IF(K126="", "", MATCH($B127, 'Capture #3 CSV'!$1:$1, 0)), "")</f>
        <v/>
      </c>
      <c r="F127" s="26" t="str">
        <f>IF(I126="", "", IF(ISNUMBER(C127), Capture1_Length-COUNTA(INDEX('Capture #1 CSV'!$A:$FF, 2, C127):INDEX('Capture #1 CSV'!$A:$FF, Capture1_Length, C127))+1, ""))</f>
        <v/>
      </c>
      <c r="G127" s="26" t="str">
        <f>IF(J126="", "", IF(ISNUMBER(D127), Capture2_Length-COUNTA(INDEX('Capture #2 CSV'!$A:$FF, 2, D127):INDEX('Capture #2 CSV'!$A:$FF, Capture2_Length, D127))+1, ""))</f>
        <v/>
      </c>
      <c r="H127" s="26" t="str">
        <f>IF(K126="", "", IF(ISNUMBER(E127), Capture3_Length-COUNTA(INDEX('Capture #3 CSV'!$A:$FF, 2, E127):INDEX('Capture #3 CSV'!$A:$FF, Capture3_Length, E127))+1, ""))</f>
        <v/>
      </c>
      <c r="I127" s="26" t="str">
        <f>IFERROR(IF(I126="", "", AVERAGE(INDEX('Capture #1 CSV'!$A:$FF, Backend!F127, Backend!C127):INDEX('Capture #1 CSV'!$A:$FF, Capture1_Length, Backend!C127))), "")</f>
        <v/>
      </c>
      <c r="J127" s="26" t="str">
        <f>IFERROR(IF(J126="", "", AVERAGE(INDEX('Capture #2 CSV'!$A:$FF, Backend!G127, Backend!D127):INDEX('Capture #2 CSV'!$A:$FF, Capture2_Length, Backend!D127))), "")</f>
        <v/>
      </c>
      <c r="K127" s="26" t="str">
        <f>IFERROR(IF(K126="", "", AVERAGE(INDEX('Capture #3 CSV'!$A:$FF, Backend!H127, Backend!E127):INDEX('Capture #3 CSV'!$A:$FF, Capture3_Length, Backend!E127))), "")</f>
        <v/>
      </c>
    </row>
    <row r="128" spans="1:11" x14ac:dyDescent="0.25">
      <c r="A128" s="2" t="s">
        <v>70</v>
      </c>
      <c r="B128" s="30" t="s">
        <v>137</v>
      </c>
      <c r="C128" s="23" t="str">
        <f>IFERROR(IF(I127="", "", MATCH($B128, 'Capture #1 CSV'!$1:$1, 0)), "")</f>
        <v/>
      </c>
      <c r="D128" s="23" t="str">
        <f>IFERROR(IF(J127="", "", MATCH($B128, 'Capture #2 CSV'!$1:$1, 0)), "")</f>
        <v/>
      </c>
      <c r="E128" s="23" t="str">
        <f>IFERROR(IF(K127="", "", MATCH($B128, 'Capture #3 CSV'!$1:$1, 0)), "")</f>
        <v/>
      </c>
      <c r="F128" s="26" t="str">
        <f>IF(I127="", "", IF(ISNUMBER(C128), Capture1_Length-COUNTA(INDEX('Capture #1 CSV'!$A:$FF, 2, C128):INDEX('Capture #1 CSV'!$A:$FF, Capture1_Length, C128))+1, ""))</f>
        <v/>
      </c>
      <c r="G128" s="26" t="str">
        <f>IF(J127="", "", IF(ISNUMBER(D128), Capture2_Length-COUNTA(INDEX('Capture #2 CSV'!$A:$FF, 2, D128):INDEX('Capture #2 CSV'!$A:$FF, Capture2_Length, D128))+1, ""))</f>
        <v/>
      </c>
      <c r="H128" s="26" t="str">
        <f>IF(K127="", "", IF(ISNUMBER(E128), Capture3_Length-COUNTA(INDEX('Capture #3 CSV'!$A:$FF, 2, E128):INDEX('Capture #3 CSV'!$A:$FF, Capture3_Length, E128))+1, ""))</f>
        <v/>
      </c>
      <c r="I128" s="26" t="str">
        <f>IFERROR(IF(I127="", "", AVERAGE(INDEX('Capture #1 CSV'!$A:$FF, Backend!F128, Backend!C128):INDEX('Capture #1 CSV'!$A:$FF, Capture1_Length, Backend!C128))), "")</f>
        <v/>
      </c>
      <c r="J128" s="26" t="str">
        <f>IFERROR(IF(J127="", "", AVERAGE(INDEX('Capture #2 CSV'!$A:$FF, Backend!G128, Backend!D128):INDEX('Capture #2 CSV'!$A:$FF, Capture2_Length, Backend!D128))), "")</f>
        <v/>
      </c>
      <c r="K128" s="26" t="str">
        <f>IFERROR(IF(K127="", "", AVERAGE(INDEX('Capture #3 CSV'!$A:$FF, Backend!H128, Backend!E128):INDEX('Capture #3 CSV'!$A:$FF, Capture3_Length, Backend!E128))), "")</f>
        <v/>
      </c>
    </row>
    <row r="129" spans="1:11" x14ac:dyDescent="0.25">
      <c r="A129" s="2" t="s">
        <v>71</v>
      </c>
      <c r="B129" s="30" t="s">
        <v>138</v>
      </c>
      <c r="C129" s="23" t="str">
        <f>IFERROR(IF(I128="", "", MATCH($B129, 'Capture #1 CSV'!$1:$1, 0)), "")</f>
        <v/>
      </c>
      <c r="D129" s="23" t="str">
        <f>IFERROR(IF(J128="", "", MATCH($B129, 'Capture #2 CSV'!$1:$1, 0)), "")</f>
        <v/>
      </c>
      <c r="E129" s="23" t="str">
        <f>IFERROR(IF(K128="", "", MATCH($B129, 'Capture #3 CSV'!$1:$1, 0)), "")</f>
        <v/>
      </c>
      <c r="F129" s="26" t="str">
        <f>IF(I128="", "", IF(ISNUMBER(C129), Capture1_Length-COUNTA(INDEX('Capture #1 CSV'!$A:$FF, 2, C129):INDEX('Capture #1 CSV'!$A:$FF, Capture1_Length, C129))+1, ""))</f>
        <v/>
      </c>
      <c r="G129" s="26" t="str">
        <f>IF(J128="", "", IF(ISNUMBER(D129), Capture2_Length-COUNTA(INDEX('Capture #2 CSV'!$A:$FF, 2, D129):INDEX('Capture #2 CSV'!$A:$FF, Capture2_Length, D129))+1, ""))</f>
        <v/>
      </c>
      <c r="H129" s="26" t="str">
        <f>IF(K128="", "", IF(ISNUMBER(E129), Capture3_Length-COUNTA(INDEX('Capture #3 CSV'!$A:$FF, 2, E129):INDEX('Capture #3 CSV'!$A:$FF, Capture3_Length, E129))+1, ""))</f>
        <v/>
      </c>
      <c r="I129" s="26" t="str">
        <f>IFERROR(IF(I128="", "", AVERAGE(INDEX('Capture #1 CSV'!$A:$FF, Backend!F129, Backend!C129):INDEX('Capture #1 CSV'!$A:$FF, Capture1_Length, Backend!C129))), "")</f>
        <v/>
      </c>
      <c r="J129" s="26" t="str">
        <f>IFERROR(IF(J128="", "", AVERAGE(INDEX('Capture #2 CSV'!$A:$FF, Backend!G129, Backend!D129):INDEX('Capture #2 CSV'!$A:$FF, Capture2_Length, Backend!D129))), "")</f>
        <v/>
      </c>
      <c r="K129" s="26" t="str">
        <f>IFERROR(IF(K128="", "", AVERAGE(INDEX('Capture #3 CSV'!$A:$FF, Backend!H129, Backend!E129):INDEX('Capture #3 CSV'!$A:$FF, Capture3_Length, Backend!E129))), "")</f>
        <v/>
      </c>
    </row>
    <row r="130" spans="1:11" x14ac:dyDescent="0.25">
      <c r="A130" s="2" t="s">
        <v>72</v>
      </c>
      <c r="B130" s="30" t="s">
        <v>139</v>
      </c>
      <c r="C130" s="23" t="str">
        <f>IFERROR(IF(I129="", "", MATCH($B130, 'Capture #1 CSV'!$1:$1, 0)), "")</f>
        <v/>
      </c>
      <c r="D130" s="23" t="str">
        <f>IFERROR(IF(J129="", "", MATCH($B130, 'Capture #2 CSV'!$1:$1, 0)), "")</f>
        <v/>
      </c>
      <c r="E130" s="23" t="str">
        <f>IFERROR(IF(K129="", "", MATCH($B130, 'Capture #3 CSV'!$1:$1, 0)), "")</f>
        <v/>
      </c>
      <c r="F130" s="26" t="str">
        <f>IF(I129="", "", IF(ISNUMBER(C130), Capture1_Length-COUNTA(INDEX('Capture #1 CSV'!$A:$FF, 2, C130):INDEX('Capture #1 CSV'!$A:$FF, Capture1_Length, C130))+1, ""))</f>
        <v/>
      </c>
      <c r="G130" s="26" t="str">
        <f>IF(J129="", "", IF(ISNUMBER(D130), Capture2_Length-COUNTA(INDEX('Capture #2 CSV'!$A:$FF, 2, D130):INDEX('Capture #2 CSV'!$A:$FF, Capture2_Length, D130))+1, ""))</f>
        <v/>
      </c>
      <c r="H130" s="26" t="str">
        <f>IF(K129="", "", IF(ISNUMBER(E130), Capture3_Length-COUNTA(INDEX('Capture #3 CSV'!$A:$FF, 2, E130):INDEX('Capture #3 CSV'!$A:$FF, Capture3_Length, E130))+1, ""))</f>
        <v/>
      </c>
      <c r="I130" s="26" t="str">
        <f>IFERROR(IF(I129="", "", AVERAGE(INDEX('Capture #1 CSV'!$A:$FF, Backend!F130, Backend!C130):INDEX('Capture #1 CSV'!$A:$FF, Capture1_Length, Backend!C130))), "")</f>
        <v/>
      </c>
      <c r="J130" s="26" t="str">
        <f>IFERROR(IF(J129="", "", AVERAGE(INDEX('Capture #2 CSV'!$A:$FF, Backend!G130, Backend!D130):INDEX('Capture #2 CSV'!$A:$FF, Capture2_Length, Backend!D130))), "")</f>
        <v/>
      </c>
      <c r="K130" s="26" t="str">
        <f>IFERROR(IF(K129="", "", AVERAGE(INDEX('Capture #3 CSV'!$A:$FF, Backend!H130, Backend!E130):INDEX('Capture #3 CSV'!$A:$FF, Capture3_Length, Backend!E130))), "")</f>
        <v/>
      </c>
    </row>
    <row r="131" spans="1:11" x14ac:dyDescent="0.25">
      <c r="A131" s="2" t="s">
        <v>73</v>
      </c>
      <c r="B131" s="30" t="s">
        <v>140</v>
      </c>
      <c r="C131" s="23" t="str">
        <f>IFERROR(IF(I130="", "", MATCH($B131, 'Capture #1 CSV'!$1:$1, 0)), "")</f>
        <v/>
      </c>
      <c r="D131" s="23" t="str">
        <f>IFERROR(IF(J130="", "", MATCH($B131, 'Capture #2 CSV'!$1:$1, 0)), "")</f>
        <v/>
      </c>
      <c r="E131" s="23" t="str">
        <f>IFERROR(IF(K130="", "", MATCH($B131, 'Capture #3 CSV'!$1:$1, 0)), "")</f>
        <v/>
      </c>
      <c r="F131" s="26" t="str">
        <f>IF(I130="", "", IF(ISNUMBER(C131), Capture1_Length-COUNTA(INDEX('Capture #1 CSV'!$A:$FF, 2, C131):INDEX('Capture #1 CSV'!$A:$FF, Capture1_Length, C131))+1, ""))</f>
        <v/>
      </c>
      <c r="G131" s="26" t="str">
        <f>IF(J130="", "", IF(ISNUMBER(D131), Capture2_Length-COUNTA(INDEX('Capture #2 CSV'!$A:$FF, 2, D131):INDEX('Capture #2 CSV'!$A:$FF, Capture2_Length, D131))+1, ""))</f>
        <v/>
      </c>
      <c r="H131" s="26" t="str">
        <f>IF(K130="", "", IF(ISNUMBER(E131), Capture3_Length-COUNTA(INDEX('Capture #3 CSV'!$A:$FF, 2, E131):INDEX('Capture #3 CSV'!$A:$FF, Capture3_Length, E131))+1, ""))</f>
        <v/>
      </c>
      <c r="I131" s="26" t="str">
        <f>IFERROR(IF(I130="", "", AVERAGE(INDEX('Capture #1 CSV'!$A:$FF, Backend!F131, Backend!C131):INDEX('Capture #1 CSV'!$A:$FF, Capture1_Length, Backend!C131))), "")</f>
        <v/>
      </c>
      <c r="J131" s="26" t="str">
        <f>IFERROR(IF(J130="", "", AVERAGE(INDEX('Capture #2 CSV'!$A:$FF, Backend!G131, Backend!D131):INDEX('Capture #2 CSV'!$A:$FF, Capture2_Length, Backend!D131))), "")</f>
        <v/>
      </c>
      <c r="K131" s="26" t="str">
        <f>IFERROR(IF(K130="", "", AVERAGE(INDEX('Capture #3 CSV'!$A:$FF, Backend!H131, Backend!E131):INDEX('Capture #3 CSV'!$A:$FF, Capture3_Length, Backend!E131))), "")</f>
        <v/>
      </c>
    </row>
    <row r="132" spans="1:11" x14ac:dyDescent="0.25">
      <c r="A132" s="2" t="s">
        <v>74</v>
      </c>
      <c r="B132" s="30" t="s">
        <v>141</v>
      </c>
      <c r="C132" s="23" t="str">
        <f>IFERROR(IF(I131="", "", MATCH($B132, 'Capture #1 CSV'!$1:$1, 0)), "")</f>
        <v/>
      </c>
      <c r="D132" s="23" t="str">
        <f>IFERROR(IF(J131="", "", MATCH($B132, 'Capture #2 CSV'!$1:$1, 0)), "")</f>
        <v/>
      </c>
      <c r="E132" s="23" t="str">
        <f>IFERROR(IF(K131="", "", MATCH($B132, 'Capture #3 CSV'!$1:$1, 0)), "")</f>
        <v/>
      </c>
      <c r="F132" s="26" t="str">
        <f>IF(I131="", "", IF(ISNUMBER(C132), Capture1_Length-COUNTA(INDEX('Capture #1 CSV'!$A:$FF, 2, C132):INDEX('Capture #1 CSV'!$A:$FF, Capture1_Length, C132))+1, ""))</f>
        <v/>
      </c>
      <c r="G132" s="26" t="str">
        <f>IF(J131="", "", IF(ISNUMBER(D132), Capture2_Length-COUNTA(INDEX('Capture #2 CSV'!$A:$FF, 2, D132):INDEX('Capture #2 CSV'!$A:$FF, Capture2_Length, D132))+1, ""))</f>
        <v/>
      </c>
      <c r="H132" s="26" t="str">
        <f>IF(K131="", "", IF(ISNUMBER(E132), Capture3_Length-COUNTA(INDEX('Capture #3 CSV'!$A:$FF, 2, E132):INDEX('Capture #3 CSV'!$A:$FF, Capture3_Length, E132))+1, ""))</f>
        <v/>
      </c>
      <c r="I132" s="26" t="str">
        <f>IFERROR(IF(I131="", "", AVERAGE(INDEX('Capture #1 CSV'!$A:$FF, Backend!F132, Backend!C132):INDEX('Capture #1 CSV'!$A:$FF, Capture1_Length, Backend!C132))), "")</f>
        <v/>
      </c>
      <c r="J132" s="26" t="str">
        <f>IFERROR(IF(J131="", "", AVERAGE(INDEX('Capture #2 CSV'!$A:$FF, Backend!G132, Backend!D132):INDEX('Capture #2 CSV'!$A:$FF, Capture2_Length, Backend!D132))), "")</f>
        <v/>
      </c>
      <c r="K132" s="26" t="str">
        <f>IFERROR(IF(K131="", "", AVERAGE(INDEX('Capture #3 CSV'!$A:$FF, Backend!H132, Backend!E132):INDEX('Capture #3 CSV'!$A:$FF, Capture3_Length, Backend!E132))), "")</f>
        <v/>
      </c>
    </row>
    <row r="133" spans="1:11" x14ac:dyDescent="0.25">
      <c r="A133" s="2" t="s">
        <v>75</v>
      </c>
      <c r="B133" s="30" t="s">
        <v>142</v>
      </c>
      <c r="C133" s="23" t="str">
        <f>IFERROR(IF(I132="", "", MATCH($B133, 'Capture #1 CSV'!$1:$1, 0)), "")</f>
        <v/>
      </c>
      <c r="D133" s="23" t="str">
        <f>IFERROR(IF(J132="", "", MATCH($B133, 'Capture #2 CSV'!$1:$1, 0)), "")</f>
        <v/>
      </c>
      <c r="E133" s="23" t="str">
        <f>IFERROR(IF(K132="", "", MATCH($B133, 'Capture #3 CSV'!$1:$1, 0)), "")</f>
        <v/>
      </c>
      <c r="F133" s="26" t="str">
        <f>IF(I132="", "", IF(ISNUMBER(C133), Capture1_Length-COUNTA(INDEX('Capture #1 CSV'!$A:$FF, 2, C133):INDEX('Capture #1 CSV'!$A:$FF, Capture1_Length, C133))+1, ""))</f>
        <v/>
      </c>
      <c r="G133" s="26" t="str">
        <f>IF(J132="", "", IF(ISNUMBER(D133), Capture2_Length-COUNTA(INDEX('Capture #2 CSV'!$A:$FF, 2, D133):INDEX('Capture #2 CSV'!$A:$FF, Capture2_Length, D133))+1, ""))</f>
        <v/>
      </c>
      <c r="H133" s="26" t="str">
        <f>IF(K132="", "", IF(ISNUMBER(E133), Capture3_Length-COUNTA(INDEX('Capture #3 CSV'!$A:$FF, 2, E133):INDEX('Capture #3 CSV'!$A:$FF, Capture3_Length, E133))+1, ""))</f>
        <v/>
      </c>
      <c r="I133" s="26" t="str">
        <f>IFERROR(IF(I132="", "", AVERAGE(INDEX('Capture #1 CSV'!$A:$FF, Backend!F133, Backend!C133):INDEX('Capture #1 CSV'!$A:$FF, Capture1_Length, Backend!C133))), "")</f>
        <v/>
      </c>
      <c r="J133" s="26" t="str">
        <f>IFERROR(IF(J132="", "", AVERAGE(INDEX('Capture #2 CSV'!$A:$FF, Backend!G133, Backend!D133):INDEX('Capture #2 CSV'!$A:$FF, Capture2_Length, Backend!D133))), "")</f>
        <v/>
      </c>
      <c r="K133" s="26" t="str">
        <f>IFERROR(IF(K132="", "", AVERAGE(INDEX('Capture #3 CSV'!$A:$FF, Backend!H133, Backend!E133):INDEX('Capture #3 CSV'!$A:$FF, Capture3_Length, Backend!E133))), "")</f>
        <v/>
      </c>
    </row>
    <row r="134" spans="1:11" x14ac:dyDescent="0.25">
      <c r="A134" s="2" t="s">
        <v>76</v>
      </c>
      <c r="B134" s="30" t="s">
        <v>143</v>
      </c>
      <c r="C134" s="23" t="str">
        <f>IFERROR(IF(I133="", "", MATCH($B134, 'Capture #1 CSV'!$1:$1, 0)), "")</f>
        <v/>
      </c>
      <c r="D134" s="23" t="str">
        <f>IFERROR(IF(J133="", "", MATCH($B134, 'Capture #2 CSV'!$1:$1, 0)), "")</f>
        <v/>
      </c>
      <c r="E134" s="23" t="str">
        <f>IFERROR(IF(K133="", "", MATCH($B134, 'Capture #3 CSV'!$1:$1, 0)), "")</f>
        <v/>
      </c>
      <c r="F134" s="26" t="str">
        <f>IF(I133="", "", IF(ISNUMBER(C134), Capture1_Length-COUNTA(INDEX('Capture #1 CSV'!$A:$FF, 2, C134):INDEX('Capture #1 CSV'!$A:$FF, Capture1_Length, C134))+1, ""))</f>
        <v/>
      </c>
      <c r="G134" s="26" t="str">
        <f>IF(J133="", "", IF(ISNUMBER(D134), Capture2_Length-COUNTA(INDEX('Capture #2 CSV'!$A:$FF, 2, D134):INDEX('Capture #2 CSV'!$A:$FF, Capture2_Length, D134))+1, ""))</f>
        <v/>
      </c>
      <c r="H134" s="26" t="str">
        <f>IF(K133="", "", IF(ISNUMBER(E134), Capture3_Length-COUNTA(INDEX('Capture #3 CSV'!$A:$FF, 2, E134):INDEX('Capture #3 CSV'!$A:$FF, Capture3_Length, E134))+1, ""))</f>
        <v/>
      </c>
      <c r="I134" s="26" t="str">
        <f>IFERROR(IF(I133="", "", AVERAGE(INDEX('Capture #1 CSV'!$A:$FF, Backend!F134, Backend!C134):INDEX('Capture #1 CSV'!$A:$FF, Capture1_Length, Backend!C134))), "")</f>
        <v/>
      </c>
      <c r="J134" s="26" t="str">
        <f>IFERROR(IF(J133="", "", AVERAGE(INDEX('Capture #2 CSV'!$A:$FF, Backend!G134, Backend!D134):INDEX('Capture #2 CSV'!$A:$FF, Capture2_Length, Backend!D134))), "")</f>
        <v/>
      </c>
      <c r="K134" s="26" t="str">
        <f>IFERROR(IF(K133="", "", AVERAGE(INDEX('Capture #3 CSV'!$A:$FF, Backend!H134, Backend!E134):INDEX('Capture #3 CSV'!$A:$FF, Capture3_Length, Backend!E134))), "")</f>
        <v/>
      </c>
    </row>
    <row r="135" spans="1:11" x14ac:dyDescent="0.25">
      <c r="A135" s="2" t="s">
        <v>77</v>
      </c>
      <c r="B135" s="30" t="s">
        <v>144</v>
      </c>
      <c r="C135" s="23" t="str">
        <f>IFERROR(IF(I134="", "", MATCH($B135, 'Capture #1 CSV'!$1:$1, 0)), "")</f>
        <v/>
      </c>
      <c r="D135" s="23" t="str">
        <f>IFERROR(IF(J134="", "", MATCH($B135, 'Capture #2 CSV'!$1:$1, 0)), "")</f>
        <v/>
      </c>
      <c r="E135" s="23" t="str">
        <f>IFERROR(IF(K134="", "", MATCH($B135, 'Capture #3 CSV'!$1:$1, 0)), "")</f>
        <v/>
      </c>
      <c r="F135" s="26" t="str">
        <f>IF(I134="", "", IF(ISNUMBER(C135), Capture1_Length-COUNTA(INDEX('Capture #1 CSV'!$A:$FF, 2, C135):INDEX('Capture #1 CSV'!$A:$FF, Capture1_Length, C135))+1, ""))</f>
        <v/>
      </c>
      <c r="G135" s="26" t="str">
        <f>IF(J134="", "", IF(ISNUMBER(D135), Capture2_Length-COUNTA(INDEX('Capture #2 CSV'!$A:$FF, 2, D135):INDEX('Capture #2 CSV'!$A:$FF, Capture2_Length, D135))+1, ""))</f>
        <v/>
      </c>
      <c r="H135" s="26" t="str">
        <f>IF(K134="", "", IF(ISNUMBER(E135), Capture3_Length-COUNTA(INDEX('Capture #3 CSV'!$A:$FF, 2, E135):INDEX('Capture #3 CSV'!$A:$FF, Capture3_Length, E135))+1, ""))</f>
        <v/>
      </c>
      <c r="I135" s="26" t="str">
        <f>IFERROR(IF(I134="", "", AVERAGE(INDEX('Capture #1 CSV'!$A:$FF, Backend!F135, Backend!C135):INDEX('Capture #1 CSV'!$A:$FF, Capture1_Length, Backend!C135))), "")</f>
        <v/>
      </c>
      <c r="J135" s="26" t="str">
        <f>IFERROR(IF(J134="", "", AVERAGE(INDEX('Capture #2 CSV'!$A:$FF, Backend!G135, Backend!D135):INDEX('Capture #2 CSV'!$A:$FF, Capture2_Length, Backend!D135))), "")</f>
        <v/>
      </c>
      <c r="K135" s="26" t="str">
        <f>IFERROR(IF(K134="", "", AVERAGE(INDEX('Capture #3 CSV'!$A:$FF, Backend!H135, Backend!E135):INDEX('Capture #3 CSV'!$A:$FF, Capture3_Length, Backend!E135))), "")</f>
        <v/>
      </c>
    </row>
    <row r="136" spans="1:11" x14ac:dyDescent="0.25">
      <c r="A136" s="2" t="s">
        <v>78</v>
      </c>
      <c r="B136" s="30" t="s">
        <v>145</v>
      </c>
      <c r="C136" s="23" t="str">
        <f>IFERROR(IF(I135="", "", MATCH($B136, 'Capture #1 CSV'!$1:$1, 0)), "")</f>
        <v/>
      </c>
      <c r="D136" s="23" t="str">
        <f>IFERROR(IF(J135="", "", MATCH($B136, 'Capture #2 CSV'!$1:$1, 0)), "")</f>
        <v/>
      </c>
      <c r="E136" s="23" t="str">
        <f>IFERROR(IF(K135="", "", MATCH($B136, 'Capture #3 CSV'!$1:$1, 0)), "")</f>
        <v/>
      </c>
      <c r="F136" s="26" t="str">
        <f>IF(I135="", "", IF(ISNUMBER(C136), Capture1_Length-COUNTA(INDEX('Capture #1 CSV'!$A:$FF, 2, C136):INDEX('Capture #1 CSV'!$A:$FF, Capture1_Length, C136))+1, ""))</f>
        <v/>
      </c>
      <c r="G136" s="26" t="str">
        <f>IF(J135="", "", IF(ISNUMBER(D136), Capture2_Length-COUNTA(INDEX('Capture #2 CSV'!$A:$FF, 2, D136):INDEX('Capture #2 CSV'!$A:$FF, Capture2_Length, D136))+1, ""))</f>
        <v/>
      </c>
      <c r="H136" s="26" t="str">
        <f>IF(K135="", "", IF(ISNUMBER(E136), Capture3_Length-COUNTA(INDEX('Capture #3 CSV'!$A:$FF, 2, E136):INDEX('Capture #3 CSV'!$A:$FF, Capture3_Length, E136))+1, ""))</f>
        <v/>
      </c>
      <c r="I136" s="26" t="str">
        <f>IFERROR(IF(I135="", "", AVERAGE(INDEX('Capture #1 CSV'!$A:$FF, Backend!F136, Backend!C136):INDEX('Capture #1 CSV'!$A:$FF, Capture1_Length, Backend!C136))), "")</f>
        <v/>
      </c>
      <c r="J136" s="26" t="str">
        <f>IFERROR(IF(J135="", "", AVERAGE(INDEX('Capture #2 CSV'!$A:$FF, Backend!G136, Backend!D136):INDEX('Capture #2 CSV'!$A:$FF, Capture2_Length, Backend!D136))), "")</f>
        <v/>
      </c>
      <c r="K136" s="26" t="str">
        <f>IFERROR(IF(K135="", "", AVERAGE(INDEX('Capture #3 CSV'!$A:$FF, Backend!H136, Backend!E136):INDEX('Capture #3 CSV'!$A:$FF, Capture3_Length, Backend!E136))), "")</f>
        <v/>
      </c>
    </row>
    <row r="137" spans="1:11" x14ac:dyDescent="0.25">
      <c r="A137" s="2" t="s">
        <v>79</v>
      </c>
      <c r="B137" s="30" t="s">
        <v>146</v>
      </c>
      <c r="C137" s="23" t="str">
        <f>IFERROR(IF(I136="", "", MATCH($B137, 'Capture #1 CSV'!$1:$1, 0)), "")</f>
        <v/>
      </c>
      <c r="D137" s="23" t="str">
        <f>IFERROR(IF(J136="", "", MATCH($B137, 'Capture #2 CSV'!$1:$1, 0)), "")</f>
        <v/>
      </c>
      <c r="E137" s="23" t="str">
        <f>IFERROR(IF(K136="", "", MATCH($B137, 'Capture #3 CSV'!$1:$1, 0)), "")</f>
        <v/>
      </c>
      <c r="F137" s="26" t="str">
        <f>IF(I136="", "", IF(ISNUMBER(C137), Capture1_Length-COUNTA(INDEX('Capture #1 CSV'!$A:$FF, 2, C137):INDEX('Capture #1 CSV'!$A:$FF, Capture1_Length, C137))+1, ""))</f>
        <v/>
      </c>
      <c r="G137" s="26" t="str">
        <f>IF(J136="", "", IF(ISNUMBER(D137), Capture2_Length-COUNTA(INDEX('Capture #2 CSV'!$A:$FF, 2, D137):INDEX('Capture #2 CSV'!$A:$FF, Capture2_Length, D137))+1, ""))</f>
        <v/>
      </c>
      <c r="H137" s="26" t="str">
        <f>IF(K136="", "", IF(ISNUMBER(E137), Capture3_Length-COUNTA(INDEX('Capture #3 CSV'!$A:$FF, 2, E137):INDEX('Capture #3 CSV'!$A:$FF, Capture3_Length, E137))+1, ""))</f>
        <v/>
      </c>
      <c r="I137" s="26" t="str">
        <f>IFERROR(IF(I136="", "", AVERAGE(INDEX('Capture #1 CSV'!$A:$FF, Backend!F137, Backend!C137):INDEX('Capture #1 CSV'!$A:$FF, Capture1_Length, Backend!C137))), "")</f>
        <v/>
      </c>
      <c r="J137" s="26" t="str">
        <f>IFERROR(IF(J136="", "", AVERAGE(INDEX('Capture #2 CSV'!$A:$FF, Backend!G137, Backend!D137):INDEX('Capture #2 CSV'!$A:$FF, Capture2_Length, Backend!D137))), "")</f>
        <v/>
      </c>
      <c r="K137" s="26" t="str">
        <f>IFERROR(IF(K136="", "", AVERAGE(INDEX('Capture #3 CSV'!$A:$FF, Backend!H137, Backend!E137):INDEX('Capture #3 CSV'!$A:$FF, Capture3_Length, Backend!E137))), "")</f>
        <v/>
      </c>
    </row>
    <row r="138" spans="1:11" x14ac:dyDescent="0.25">
      <c r="A138" s="2" t="s">
        <v>80</v>
      </c>
      <c r="B138" s="30" t="s">
        <v>147</v>
      </c>
      <c r="C138" s="23" t="str">
        <f>IFERROR(IF(I137="", "", MATCH($B138, 'Capture #1 CSV'!$1:$1, 0)), "")</f>
        <v/>
      </c>
      <c r="D138" s="23" t="str">
        <f>IFERROR(IF(J137="", "", MATCH($B138, 'Capture #2 CSV'!$1:$1, 0)), "")</f>
        <v/>
      </c>
      <c r="E138" s="23" t="str">
        <f>IFERROR(IF(K137="", "", MATCH($B138, 'Capture #3 CSV'!$1:$1, 0)), "")</f>
        <v/>
      </c>
      <c r="F138" s="26" t="str">
        <f>IF(I137="", "", IF(ISNUMBER(C138), Capture1_Length-COUNTA(INDEX('Capture #1 CSV'!$A:$FF, 2, C138):INDEX('Capture #1 CSV'!$A:$FF, Capture1_Length, C138))+1, ""))</f>
        <v/>
      </c>
      <c r="G138" s="26" t="str">
        <f>IF(J137="", "", IF(ISNUMBER(D138), Capture2_Length-COUNTA(INDEX('Capture #2 CSV'!$A:$FF, 2, D138):INDEX('Capture #2 CSV'!$A:$FF, Capture2_Length, D138))+1, ""))</f>
        <v/>
      </c>
      <c r="H138" s="26" t="str">
        <f>IF(K137="", "", IF(ISNUMBER(E138), Capture3_Length-COUNTA(INDEX('Capture #3 CSV'!$A:$FF, 2, E138):INDEX('Capture #3 CSV'!$A:$FF, Capture3_Length, E138))+1, ""))</f>
        <v/>
      </c>
      <c r="I138" s="26" t="str">
        <f>IFERROR(IF(I137="", "", AVERAGE(INDEX('Capture #1 CSV'!$A:$FF, Backend!F138, Backend!C138):INDEX('Capture #1 CSV'!$A:$FF, Capture1_Length, Backend!C138))), "")</f>
        <v/>
      </c>
      <c r="J138" s="26" t="str">
        <f>IFERROR(IF(J137="", "", AVERAGE(INDEX('Capture #2 CSV'!$A:$FF, Backend!G138, Backend!D138):INDEX('Capture #2 CSV'!$A:$FF, Capture2_Length, Backend!D138))), "")</f>
        <v/>
      </c>
      <c r="K138" s="26" t="str">
        <f>IFERROR(IF(K137="", "", AVERAGE(INDEX('Capture #3 CSV'!$A:$FF, Backend!H138, Backend!E138):INDEX('Capture #3 CSV'!$A:$FF, Capture3_Length, Backend!E138))), "")</f>
        <v/>
      </c>
    </row>
    <row r="139" spans="1:11" x14ac:dyDescent="0.25">
      <c r="A139" s="2" t="s">
        <v>81</v>
      </c>
      <c r="B139" s="30" t="s">
        <v>148</v>
      </c>
      <c r="C139" s="23" t="str">
        <f>IFERROR(IF(I138="", "", MATCH($B139, 'Capture #1 CSV'!$1:$1, 0)), "")</f>
        <v/>
      </c>
      <c r="D139" s="23" t="str">
        <f>IFERROR(IF(J138="", "", MATCH($B139, 'Capture #2 CSV'!$1:$1, 0)), "")</f>
        <v/>
      </c>
      <c r="E139" s="23" t="str">
        <f>IFERROR(IF(K138="", "", MATCH($B139, 'Capture #3 CSV'!$1:$1, 0)), "")</f>
        <v/>
      </c>
      <c r="F139" s="26" t="str">
        <f>IF(I138="", "", IF(ISNUMBER(C139), Capture1_Length-COUNTA(INDEX('Capture #1 CSV'!$A:$FF, 2, C139):INDEX('Capture #1 CSV'!$A:$FF, Capture1_Length, C139))+1, ""))</f>
        <v/>
      </c>
      <c r="G139" s="26" t="str">
        <f>IF(J138="", "", IF(ISNUMBER(D139), Capture2_Length-COUNTA(INDEX('Capture #2 CSV'!$A:$FF, 2, D139):INDEX('Capture #2 CSV'!$A:$FF, Capture2_Length, D139))+1, ""))</f>
        <v/>
      </c>
      <c r="H139" s="26" t="str">
        <f>IF(K138="", "", IF(ISNUMBER(E139), Capture3_Length-COUNTA(INDEX('Capture #3 CSV'!$A:$FF, 2, E139):INDEX('Capture #3 CSV'!$A:$FF, Capture3_Length, E139))+1, ""))</f>
        <v/>
      </c>
      <c r="I139" s="26" t="str">
        <f>IFERROR(IF(I138="", "", AVERAGE(INDEX('Capture #1 CSV'!$A:$FF, Backend!F139, Backend!C139):INDEX('Capture #1 CSV'!$A:$FF, Capture1_Length, Backend!C139))), "")</f>
        <v/>
      </c>
      <c r="J139" s="26" t="str">
        <f>IFERROR(IF(J138="", "", AVERAGE(INDEX('Capture #2 CSV'!$A:$FF, Backend!G139, Backend!D139):INDEX('Capture #2 CSV'!$A:$FF, Capture2_Length, Backend!D139))), "")</f>
        <v/>
      </c>
      <c r="K139" s="26" t="str">
        <f>IFERROR(IF(K138="", "", AVERAGE(INDEX('Capture #3 CSV'!$A:$FF, Backend!H139, Backend!E139):INDEX('Capture #3 CSV'!$A:$FF, Capture3_Length, Backend!E139))), "")</f>
        <v/>
      </c>
    </row>
    <row r="140" spans="1:11" x14ac:dyDescent="0.25">
      <c r="A140" s="126" t="s">
        <v>12</v>
      </c>
      <c r="B140" s="127"/>
      <c r="C140" s="127"/>
      <c r="D140" s="127"/>
      <c r="E140" s="127"/>
      <c r="F140" s="127"/>
      <c r="G140" s="127"/>
      <c r="H140" s="127"/>
    </row>
    <row r="141" spans="1:11" x14ac:dyDescent="0.25">
      <c r="A141" s="3" t="s">
        <v>246</v>
      </c>
      <c r="B141" s="125"/>
      <c r="C141" s="125"/>
      <c r="D141" s="125"/>
      <c r="E141" s="125"/>
      <c r="F141" s="125"/>
      <c r="G141" s="125"/>
      <c r="H141" s="125"/>
    </row>
    <row r="142" spans="1:11" x14ac:dyDescent="0.25">
      <c r="A142" s="3" t="s">
        <v>13</v>
      </c>
      <c r="B142" s="50">
        <v>1</v>
      </c>
    </row>
    <row r="143" spans="1:11" ht="15" customHeight="1" x14ac:dyDescent="0.25">
      <c r="A143" s="2" t="s">
        <v>239</v>
      </c>
      <c r="B143" s="38">
        <v>1</v>
      </c>
      <c r="C143" s="52"/>
      <c r="D143" s="52"/>
      <c r="E143" s="52"/>
      <c r="F143" s="52"/>
      <c r="G143" s="52"/>
      <c r="H143" s="52"/>
    </row>
    <row r="144" spans="1:11" ht="15" customHeight="1" x14ac:dyDescent="0.25">
      <c r="A144" s="54">
        <v>1</v>
      </c>
      <c r="B144" s="53" t="s">
        <v>236</v>
      </c>
      <c r="C144" s="52"/>
      <c r="D144" s="52"/>
      <c r="E144" s="52"/>
      <c r="F144" s="52"/>
      <c r="G144" s="52"/>
      <c r="H144" s="52"/>
    </row>
    <row r="145" spans="1:8" ht="15" customHeight="1" x14ac:dyDescent="0.25">
      <c r="A145" s="54">
        <v>2</v>
      </c>
      <c r="B145" s="53" t="s">
        <v>240</v>
      </c>
      <c r="C145" s="52"/>
      <c r="D145" s="52"/>
      <c r="E145" s="52"/>
      <c r="F145" s="52"/>
      <c r="G145" s="52"/>
      <c r="H145" s="52"/>
    </row>
    <row r="146" spans="1:8" ht="15" customHeight="1" x14ac:dyDescent="0.25">
      <c r="A146" s="54">
        <v>3</v>
      </c>
      <c r="B146" s="53" t="s">
        <v>241</v>
      </c>
      <c r="C146" s="52"/>
      <c r="D146" s="52"/>
      <c r="E146" s="52"/>
      <c r="F146" s="52"/>
      <c r="G146" s="52"/>
      <c r="H146" s="52"/>
    </row>
    <row r="147" spans="1:8" ht="15" customHeight="1" x14ac:dyDescent="0.25">
      <c r="A147" s="54">
        <v>4</v>
      </c>
      <c r="B147" s="67" t="s">
        <v>267</v>
      </c>
      <c r="C147" s="52"/>
      <c r="D147" s="52"/>
      <c r="E147" s="52"/>
      <c r="F147" s="52"/>
      <c r="G147" s="52"/>
      <c r="H147" s="52"/>
    </row>
    <row r="148" spans="1:8" ht="15" customHeight="1" x14ac:dyDescent="0.25">
      <c r="A148" s="54">
        <v>5</v>
      </c>
      <c r="B148" s="67" t="s">
        <v>269</v>
      </c>
      <c r="C148" s="52"/>
      <c r="D148" s="52"/>
      <c r="E148" s="52"/>
      <c r="F148" s="52"/>
      <c r="G148" s="52"/>
      <c r="H148" s="52"/>
    </row>
    <row r="149" spans="1:8" ht="15" customHeight="1" x14ac:dyDescent="0.25">
      <c r="A149" s="54">
        <v>6</v>
      </c>
      <c r="B149" s="67" t="s">
        <v>268</v>
      </c>
      <c r="C149" s="52"/>
      <c r="D149" s="52"/>
      <c r="E149" s="52"/>
      <c r="F149" s="52"/>
      <c r="G149" s="52"/>
      <c r="H149" s="52"/>
    </row>
    <row r="150" spans="1:8" ht="15" customHeight="1" x14ac:dyDescent="0.25">
      <c r="A150" s="54">
        <v>7</v>
      </c>
      <c r="B150" s="53" t="s">
        <v>244</v>
      </c>
      <c r="C150" s="52"/>
      <c r="D150" s="52"/>
      <c r="E150" s="52"/>
      <c r="F150" s="52"/>
      <c r="G150" s="52"/>
      <c r="H150" s="52"/>
    </row>
    <row r="151" spans="1:8" ht="15" customHeight="1" x14ac:dyDescent="0.25">
      <c r="A151" s="54">
        <v>8</v>
      </c>
      <c r="B151" s="53" t="s">
        <v>242</v>
      </c>
      <c r="C151" s="52"/>
      <c r="D151" s="52"/>
      <c r="E151" s="52"/>
      <c r="F151" s="52"/>
      <c r="G151" s="52"/>
      <c r="H151" s="52"/>
    </row>
    <row r="152" spans="1:8" ht="15" customHeight="1" x14ac:dyDescent="0.25">
      <c r="A152" s="54">
        <v>9</v>
      </c>
      <c r="B152" s="53" t="s">
        <v>243</v>
      </c>
      <c r="C152" s="52"/>
      <c r="D152" s="52"/>
      <c r="E152" s="52"/>
      <c r="F152" s="52"/>
      <c r="G152" s="52"/>
      <c r="H152" s="52"/>
    </row>
  </sheetData>
  <sheetProtection selectLockedCells="1" selectUnlockedCells="1"/>
  <mergeCells count="83">
    <mergeCell ref="I75:K75"/>
    <mergeCell ref="F75:H75"/>
    <mergeCell ref="H63:H64"/>
    <mergeCell ref="G63:G64"/>
    <mergeCell ref="B41:B42"/>
    <mergeCell ref="K43:K44"/>
    <mergeCell ref="J43:J44"/>
    <mergeCell ref="I43:I44"/>
    <mergeCell ref="H43:H44"/>
    <mergeCell ref="G43:G44"/>
    <mergeCell ref="F43:F44"/>
    <mergeCell ref="E43:E44"/>
    <mergeCell ref="D43:D44"/>
    <mergeCell ref="C43:C44"/>
    <mergeCell ref="B43:B44"/>
    <mergeCell ref="F63:F64"/>
    <mergeCell ref="A7:H7"/>
    <mergeCell ref="B8:H8"/>
    <mergeCell ref="C6:E6"/>
    <mergeCell ref="C1:E1"/>
    <mergeCell ref="C2:E2"/>
    <mergeCell ref="C3:E3"/>
    <mergeCell ref="C4:E4"/>
    <mergeCell ref="C5:E5"/>
    <mergeCell ref="B26:I26"/>
    <mergeCell ref="B29:I29"/>
    <mergeCell ref="B31:I31"/>
    <mergeCell ref="B27:I27"/>
    <mergeCell ref="C37:E37"/>
    <mergeCell ref="B141:H141"/>
    <mergeCell ref="B18:I18"/>
    <mergeCell ref="B19:I19"/>
    <mergeCell ref="B20:I20"/>
    <mergeCell ref="B24:I24"/>
    <mergeCell ref="A140:H140"/>
    <mergeCell ref="F65:F66"/>
    <mergeCell ref="G65:G66"/>
    <mergeCell ref="H65:H66"/>
    <mergeCell ref="F67:F68"/>
    <mergeCell ref="G67:G68"/>
    <mergeCell ref="H67:H68"/>
    <mergeCell ref="F69:F70"/>
    <mergeCell ref="G69:G70"/>
    <mergeCell ref="H69:H70"/>
    <mergeCell ref="C75:E75"/>
    <mergeCell ref="B9:H9"/>
    <mergeCell ref="B10:H10"/>
    <mergeCell ref="A12:I12"/>
    <mergeCell ref="B14:I14"/>
    <mergeCell ref="B15:I15"/>
    <mergeCell ref="B13:I13"/>
    <mergeCell ref="A17:I17"/>
    <mergeCell ref="B16:I16"/>
    <mergeCell ref="B11:H11"/>
    <mergeCell ref="B50:B51"/>
    <mergeCell ref="K50:K51"/>
    <mergeCell ref="J50:J51"/>
    <mergeCell ref="I50:I51"/>
    <mergeCell ref="H50:H51"/>
    <mergeCell ref="G50:G51"/>
    <mergeCell ref="B21:I21"/>
    <mergeCell ref="B22:I22"/>
    <mergeCell ref="B23:I23"/>
    <mergeCell ref="B32:I32"/>
    <mergeCell ref="B25:I25"/>
    <mergeCell ref="B28:I28"/>
    <mergeCell ref="B30:I30"/>
    <mergeCell ref="L37:N37"/>
    <mergeCell ref="F50:F51"/>
    <mergeCell ref="E50:E51"/>
    <mergeCell ref="D50:D51"/>
    <mergeCell ref="C50:C51"/>
    <mergeCell ref="K41:K42"/>
    <mergeCell ref="J41:J42"/>
    <mergeCell ref="I41:I42"/>
    <mergeCell ref="H41:H42"/>
    <mergeCell ref="G41:G42"/>
    <mergeCell ref="F41:F42"/>
    <mergeCell ref="E41:E42"/>
    <mergeCell ref="D41:D42"/>
    <mergeCell ref="C41:C42"/>
    <mergeCell ref="F37:H37"/>
    <mergeCell ref="I37:K37"/>
  </mergeCells>
  <pageMargins left="0.7" right="0.7" top="0.75" bottom="0.75" header="0.3" footer="0.3"/>
  <pageSetup orientation="portrait" r:id="rId1"/>
  <ignoredErrors>
    <ignoredError sqref="L45:N48 C64:E64 L42 L43:N43 C65:E69" formula="1"/>
  </ignoredErrors>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'Capture #1 CSV'!$A$1:$FF$1</xm:f>
          </x14:formula1>
          <xm:sqref>B76:B139</xm:sqref>
        </x14:dataValidation>
        <x14:dataValidation type="list" allowBlank="1" showInputMessage="1" showErrorMessage="1">
          <x14:formula1>
            <xm:f>'Capture #1 CSV'!$A$1:$DD$1</xm:f>
          </x14:formula1>
          <xm:sqref>B38:B74</xm:sqref>
        </x14:dataValidation>
      </x14:dataValidations>
    </ext>
  </extLst>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4" baseType="variant">
      <vt:variant>
        <vt:lpstr>Worksheets</vt:lpstr>
      </vt:variant>
      <vt:variant>
        <vt:i4>5</vt:i4>
      </vt:variant>
      <vt:variant>
        <vt:lpstr>Named Ranges</vt:lpstr>
      </vt:variant>
      <vt:variant>
        <vt:i4>16</vt:i4>
      </vt:variant>
    </vt:vector>
  </HeadingPairs>
  <TitlesOfParts>
    <vt:vector size="21" baseType="lpstr">
      <vt:lpstr>Capture #1 CSV</vt:lpstr>
      <vt:lpstr>Capture #2 CSV</vt:lpstr>
      <vt:lpstr>Capture #3 CSV</vt:lpstr>
      <vt:lpstr>Results</vt:lpstr>
      <vt:lpstr>Backend</vt:lpstr>
      <vt:lpstr>Capture1_NVGPU</vt:lpstr>
      <vt:lpstr>Capture1_PropertyRange</vt:lpstr>
      <vt:lpstr>Capture1_Valid_PCAT</vt:lpstr>
      <vt:lpstr>Capture1_Variable</vt:lpstr>
      <vt:lpstr>Capture2_NVGPU</vt:lpstr>
      <vt:lpstr>Capture2_PropertyRange</vt:lpstr>
      <vt:lpstr>Capture2_Valid_PCAT</vt:lpstr>
      <vt:lpstr>Capture2_Variable</vt:lpstr>
      <vt:lpstr>Capture3_NVGPU</vt:lpstr>
      <vt:lpstr>Capture3_PropertyRange</vt:lpstr>
      <vt:lpstr>Capture3_Valid_PCAT</vt:lpstr>
      <vt:lpstr>Capture3_Variable</vt:lpstr>
      <vt:lpstr>Meta_LastFolderPath</vt:lpstr>
      <vt:lpstr>Meta_PowerScheme</vt:lpstr>
      <vt:lpstr>Meta_StaticChartProperties</vt:lpstr>
      <vt:lpstr>Meta_TableFormulaIndex</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NVIDIA CORPORATION</dc:creator>
  <dcterms:created xsi:type="dcterms:W3CDTF">2020-04-07T00:26:24Z</dcterms:created>
  <dcterms:modified xsi:type="dcterms:W3CDTF">2020-09-01T19:55:51Z</dcterms:modified>
</cp:coreProperties>
</file>